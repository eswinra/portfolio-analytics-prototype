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Report" sheetId="2" state="visible" r:id="rId2"/>
    <sheet xmlns:r="http://schemas.openxmlformats.org/officeDocument/2006/relationships" name="Pension" sheetId="3" state="visible" r:id="rId3"/>
    <sheet xmlns:r="http://schemas.openxmlformats.org/officeDocument/2006/relationships" name="OPEB" sheetId="4" state="visible" r:id="rId4"/>
    <sheet xmlns:r="http://schemas.openxmlformats.org/officeDocument/2006/relationships" name="Markets" sheetId="5" state="visible" r:id="rId5"/>
    <sheet xmlns:r="http://schemas.openxmlformats.org/officeDocument/2006/relationships" name="Macro" sheetId="6" state="visible" r:id="rId6"/>
    <sheet xmlns:r="http://schemas.openxmlformats.org/officeDocument/2006/relationships" name="Item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Expo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10233D"/>
      <sz val="14"/>
    </font>
    <font>
      <name val="Arial"/>
      <sz val="10"/>
    </font>
    <font>
      <name val="Arial"/>
      <i val="1"/>
      <color rgb="0055606E"/>
      <sz val="9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FF6CC"/>
      </patternFill>
    </fill>
    <fill>
      <patternFill patternType="solid">
        <fgColor rgb="0010233D"/>
      </patternFill>
    </fill>
  </fills>
  <borders count="2">
    <border>
      <left/>
      <right/>
      <top/>
      <bottom/>
      <diagonal/>
    </border>
    <border>
      <left style="thin">
        <color rgb="00C9D1DA"/>
      </left>
      <right style="thin">
        <color rgb="00C9D1DA"/>
      </right>
      <top style="thin">
        <color rgb="00C9D1DA"/>
      </top>
      <bottom style="thin">
        <color rgb="00C9D1D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2" borderId="1" pivotButton="0" quotePrefix="0" xfId="0"/>
    <xf numFmtId="3" fontId="2" fillId="2" borderId="1" pivotButton="0" quotePrefix="0" xfId="0"/>
    <xf numFmtId="2" fontId="2" fillId="2" borderId="1" pivotButton="0" quotePrefix="0" xfId="0"/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165" fontId="2" fillId="2" borderId="1" pivotButton="0" quotePrefix="0" xfId="0"/>
    <xf numFmtId="0" fontId="2" fillId="2" borderId="1" pivotButton="0" quotePrefix="0" xfId="0"/>
    <xf numFmtId="3" fontId="3" fillId="0" borderId="0" pivotButton="0" quotePrefix="0" xfId="0"/>
    <xf numFmtId="165" fontId="3" fillId="0" borderId="0" pivotButton="0" quotePrefix="0" xfId="0"/>
    <xf numFmtId="166" fontId="2" fillId="2" borderId="1" pivotButton="0" quotePrefix="0" xfId="0"/>
    <xf numFmtId="1" fontId="2" fillId="2" borderId="1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DF1E4"/>
        </patternFill>
      </fill>
    </dxf>
    <dxf>
      <fill>
        <patternFill patternType="solid">
          <fgColor rgb="00FBDA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CIO Monthly — input template</t>
        </is>
      </c>
    </row>
    <row r="3">
      <c r="A3" s="2" t="inlineStr">
        <is>
          <t>Fills the CIO Monthly slides on the dashboard without the published PDF.</t>
        </is>
      </c>
    </row>
    <row r="4">
      <c r="A4" s="2" t="inlineStr"/>
    </row>
    <row r="5">
      <c r="A5" s="2" t="inlineStr">
        <is>
          <t>1. Fill the yellow cells on Report, Pension, OPEB, Markets, Macro and Items.</t>
        </is>
      </c>
    </row>
    <row r="6">
      <c r="A6" s="2" t="inlineStr">
        <is>
          <t xml:space="preserve">   Percent as printed (0.1 means 0.1%); money in $ millions. Leave a cell empty when the report has no figure.</t>
        </is>
      </c>
    </row>
    <row r="7">
      <c r="A7" s="2" t="inlineStr">
        <is>
          <t>2. Open Checks: every line should say OK.</t>
        </is>
      </c>
    </row>
    <row r="8">
      <c r="A8" s="2" t="inlineStr">
        <is>
          <t>3. Open Export, then File &gt; Save As &gt; "CSV UTF-8 (Comma delimited)". Excel saves only the Export tab.</t>
        </is>
      </c>
    </row>
    <row r="9">
      <c r="A9" s="2" t="inlineStr">
        <is>
          <t>4. On the dashboard's CIO Monthly tab choose "Open a template file" and pick the CSV.</t>
        </is>
      </c>
    </row>
    <row r="10">
      <c r="A10" s="2" t="inlineStr">
        <is>
          <t xml:space="preserve">   It is read in your browser only: nothing is uploaded, and it is cleared when you close or reload the page.</t>
        </is>
      </c>
    </row>
    <row r="11">
      <c r="A11" s="2" t="inlineStr"/>
    </row>
    <row r="12">
      <c r="A12" s="2" t="inlineStr">
        <is>
          <t>Before LACERA publishes a report, its figures are confidential. Keep this workbook and its CSV on your</t>
        </is>
      </c>
    </row>
    <row r="13">
      <c r="A13" s="2" t="inlineStr">
        <is>
          <t>team's systems. Do not use the GitHub "CIO report" form for them, and do not send them to AI tools.</t>
        </is>
      </c>
    </row>
    <row r="14">
      <c r="A14" s="2" t="inlineStr"/>
    </row>
    <row r="15">
      <c r="A15" s="2" t="inlineStr">
        <is>
          <t>Format cio-template-1. Column meanings: docs/cio-template.md in the project on GitHub.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3" max="3"/>
  </cols>
  <sheetData>
    <row r="1">
      <c r="A1" s="1" t="inlineStr">
        <is>
          <t>Report</t>
        </is>
      </c>
    </row>
    <row r="2">
      <c r="A2" s="3" t="inlineStr">
        <is>
          <t>Dates as YYYY-MM-DD. Data through is the month end the fund figures are as of.</t>
        </is>
      </c>
    </row>
    <row r="4">
      <c r="A4" s="2" t="inlineStr">
        <is>
          <t>Report (meeting) date</t>
        </is>
      </c>
      <c r="C4" s="4" t="n"/>
    </row>
    <row r="5">
      <c r="A5" s="2" t="inlineStr">
        <is>
          <t>Data through (month end)</t>
        </is>
      </c>
      <c r="C5" s="4" t="n"/>
    </row>
    <row r="6">
      <c r="A6" s="2" t="inlineStr">
        <is>
          <t>Market table as of</t>
        </is>
      </c>
      <c r="C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Pension</t>
        </is>
      </c>
    </row>
    <row r="2">
      <c r="A2" s="3" t="inlineStr">
        <is>
          <t>Yellow cells are inputs. Percent as printed (0.1 means 0.1%); money in $ millions.</t>
        </is>
      </c>
    </row>
    <row r="4">
      <c r="A4" s="2" t="inlineStr">
        <is>
          <t>Total market value ($ millions)</t>
        </is>
      </c>
      <c r="C4" s="5" t="n"/>
    </row>
    <row r="5">
      <c r="A5" s="2" t="inlineStr">
        <is>
          <t>Cash and equivalents ($ millions)</t>
        </is>
      </c>
      <c r="C5" s="5" t="n"/>
    </row>
    <row r="6">
      <c r="A6" s="2" t="inlineStr">
        <is>
          <t>Growth of $1, trailing 5 years (optional)</t>
        </is>
      </c>
      <c r="C6" s="6" t="n"/>
    </row>
    <row r="8">
      <c r="A8" s="7" t="inlineStr">
        <is>
          <t>Performance (% net of fees)</t>
        </is>
      </c>
      <c r="B8" s="8" t="inlineStr"/>
      <c r="C8" s="8" t="inlineStr">
        <is>
          <t>1M</t>
        </is>
      </c>
      <c r="D8" s="8" t="inlineStr">
        <is>
          <t>3M</t>
        </is>
      </c>
      <c r="E8" s="8" t="inlineStr">
        <is>
          <t>FYTD</t>
        </is>
      </c>
      <c r="F8" s="8" t="inlineStr">
        <is>
          <t>YTD</t>
        </is>
      </c>
      <c r="G8" s="8" t="inlineStr">
        <is>
          <t>1Y</t>
        </is>
      </c>
      <c r="H8" s="8" t="inlineStr">
        <is>
          <t>3Y</t>
        </is>
      </c>
      <c r="I8" s="8" t="inlineStr">
        <is>
          <t>5Y</t>
        </is>
      </c>
      <c r="J8" s="8" t="inlineStr">
        <is>
          <t>10Y</t>
        </is>
      </c>
    </row>
    <row r="9">
      <c r="A9" s="2" t="inlineStr">
        <is>
          <t>Total Fund — net return</t>
        </is>
      </c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2" t="inlineStr">
        <is>
          <t>Total Fund — policy benchmark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2" t="inlineStr">
        <is>
          <t>Total Fund — actuarial hurdle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2" t="inlineStr">
        <is>
          <t>Growth — return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2" t="inlineStr">
        <is>
          <t>Growth — benchmark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2" t="inlineStr">
        <is>
          <t>Credit — return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2" t="inlineStr">
        <is>
          <t>Credit — benchmark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2" t="inlineStr">
        <is>
          <t>Real Assets &amp; Inflation Hedges — return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2" t="inlineStr">
        <is>
          <t>Real Assets &amp; Inflation Hedges — benchmark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2" t="inlineStr">
        <is>
          <t>Risk Reduction &amp; Mitigation — return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 s="2" t="inlineStr">
        <is>
          <t>Risk Reduction &amp; Mitigation — benchmark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</row>
    <row r="21">
      <c r="A21" s="7" t="inlineStr">
        <is>
          <t>Allocation</t>
        </is>
      </c>
      <c r="B21" s="8" t="inlineStr">
        <is>
          <t>Label (other line only)</t>
        </is>
      </c>
      <c r="C21" s="8" t="inlineStr">
        <is>
          <t>Market value $M</t>
        </is>
      </c>
      <c r="D21" s="8" t="inlineStr">
        <is>
          <t>Weight %</t>
        </is>
      </c>
      <c r="E21" s="8" t="inlineStr">
        <is>
          <t>Target %</t>
        </is>
      </c>
      <c r="F21" s="8" t="inlineStr">
        <is>
          <t>Month flow $M</t>
        </is>
      </c>
    </row>
    <row r="22">
      <c r="A22" s="2" t="inlineStr">
        <is>
          <t>Growth</t>
        </is>
      </c>
      <c r="C22" s="5" t="n"/>
      <c r="D22" s="9" t="n"/>
      <c r="E22" s="9" t="n"/>
      <c r="F22" s="5" t="n"/>
    </row>
    <row r="23">
      <c r="A23" s="2" t="inlineStr">
        <is>
          <t>Credit</t>
        </is>
      </c>
      <c r="C23" s="5" t="n"/>
      <c r="D23" s="9" t="n"/>
      <c r="E23" s="9" t="n"/>
      <c r="F23" s="5" t="n"/>
    </row>
    <row r="24">
      <c r="A24" s="2" t="inlineStr">
        <is>
          <t>Real Assets &amp; Inflation Hedges</t>
        </is>
      </c>
      <c r="C24" s="5" t="n"/>
      <c r="D24" s="9" t="n"/>
      <c r="E24" s="9" t="n"/>
      <c r="F24" s="5" t="n"/>
    </row>
    <row r="25">
      <c r="A25" s="2" t="inlineStr">
        <is>
          <t>Risk Reduction &amp; Mitigation</t>
        </is>
      </c>
      <c r="C25" s="5" t="n"/>
      <c r="D25" s="9" t="n"/>
      <c r="E25" s="9" t="n"/>
      <c r="F25" s="5" t="n"/>
    </row>
    <row r="26">
      <c r="A26" s="2" t="inlineStr">
        <is>
          <t>Other line (overlays, other assets, unitemized; optional)</t>
        </is>
      </c>
      <c r="B26" s="10" t="n"/>
      <c r="C26" s="5" t="n"/>
      <c r="D26" s="9" t="n"/>
      <c r="F26" s="5" t="n"/>
    </row>
    <row r="27">
      <c r="A27" s="3" t="inlineStr">
        <is>
          <t>Sum (should match the total and 100%)</t>
        </is>
      </c>
      <c r="C27" s="11">
        <f>SUM(C22:C26)</f>
        <v/>
      </c>
      <c r="D27" s="12">
        <f>SUM(D22:D26)</f>
        <v/>
      </c>
      <c r="F27" s="11">
        <f>SUM(F22:F26)</f>
        <v/>
      </c>
    </row>
    <row r="29">
      <c r="A29" s="7" t="inlineStr">
        <is>
          <t>Overlay programs (Total Fund only, $ millions)</t>
        </is>
      </c>
      <c r="B29" s="8" t="inlineStr">
        <is>
          <t>Program</t>
        </is>
      </c>
      <c r="C29" s="8" t="inlineStr">
        <is>
          <t>Month gain</t>
        </is>
      </c>
      <c r="D29" s="8" t="inlineStr">
        <is>
          <t>Since inception</t>
        </is>
      </c>
    </row>
    <row r="30">
      <c r="B30" s="10" t="n"/>
      <c r="C30" s="13" t="n"/>
      <c r="D30" s="13" t="n"/>
    </row>
    <row r="31">
      <c r="B31" s="10" t="n"/>
      <c r="C31" s="13" t="n"/>
      <c r="D31" s="13" t="n"/>
    </row>
    <row r="32">
      <c r="B32" s="10" t="n"/>
      <c r="C32" s="13" t="n"/>
      <c r="D32" s="13" t="n"/>
    </row>
    <row r="33">
      <c r="B33" s="10" t="n"/>
      <c r="C33" s="13" t="n"/>
      <c r="D33" s="13" t="n"/>
    </row>
    <row r="35">
      <c r="A35" s="7" t="inlineStr">
        <is>
          <t>Return distribution, last 120 months (% per month)</t>
        </is>
      </c>
      <c r="B35" s="8" t="inlineStr">
        <is>
          <t>Bin</t>
        </is>
      </c>
      <c r="C35" s="8" t="inlineStr">
        <is>
          <t>Months</t>
        </is>
      </c>
    </row>
    <row r="36">
      <c r="B36" s="2" t="inlineStr">
        <is>
          <t>≤ -6</t>
        </is>
      </c>
      <c r="C36" s="14" t="n"/>
    </row>
    <row r="37">
      <c r="B37" s="2" t="inlineStr">
        <is>
          <t>-6 to -5</t>
        </is>
      </c>
      <c r="C37" s="14" t="n"/>
    </row>
    <row r="38">
      <c r="B38" s="2" t="inlineStr">
        <is>
          <t>-5 to -4</t>
        </is>
      </c>
      <c r="C38" s="14" t="n"/>
    </row>
    <row r="39">
      <c r="B39" s="2" t="inlineStr">
        <is>
          <t>-4 to -3</t>
        </is>
      </c>
      <c r="C39" s="14" t="n"/>
    </row>
    <row r="40">
      <c r="B40" s="2" t="inlineStr">
        <is>
          <t>-3 to -2</t>
        </is>
      </c>
      <c r="C40" s="14" t="n"/>
    </row>
    <row r="41">
      <c r="B41" s="2" t="inlineStr">
        <is>
          <t>-2 to -1</t>
        </is>
      </c>
      <c r="C41" s="14" t="n"/>
    </row>
    <row r="42">
      <c r="B42" s="2" t="inlineStr">
        <is>
          <t>-1 to 0</t>
        </is>
      </c>
      <c r="C42" s="14" t="n"/>
    </row>
    <row r="43">
      <c r="B43" s="2" t="inlineStr">
        <is>
          <t>0 to 1</t>
        </is>
      </c>
      <c r="C43" s="14" t="n"/>
    </row>
    <row r="44">
      <c r="B44" s="2" t="inlineStr">
        <is>
          <t>1 to 2</t>
        </is>
      </c>
      <c r="C44" s="14" t="n"/>
    </row>
    <row r="45">
      <c r="B45" s="2" t="inlineStr">
        <is>
          <t>2 to 3</t>
        </is>
      </c>
      <c r="C45" s="14" t="n"/>
    </row>
    <row r="46">
      <c r="B46" s="2" t="inlineStr">
        <is>
          <t>3 to 4</t>
        </is>
      </c>
      <c r="C46" s="14" t="n"/>
    </row>
    <row r="47">
      <c r="B47" s="2" t="inlineStr">
        <is>
          <t>4 to 5</t>
        </is>
      </c>
      <c r="C47" s="14" t="n"/>
    </row>
    <row r="48">
      <c r="B48" s="2" t="inlineStr">
        <is>
          <t>5 to 6</t>
        </is>
      </c>
      <c r="C48" s="14" t="n"/>
    </row>
    <row r="49">
      <c r="B49" s="2" t="inlineStr">
        <is>
          <t>≥ 6</t>
        </is>
      </c>
      <c r="C49" s="14" t="n"/>
    </row>
    <row r="51">
      <c r="B51" s="2" t="inlineStr">
        <is>
          <t>Mean monthly return</t>
        </is>
      </c>
      <c r="C51" s="6" t="n"/>
    </row>
    <row r="52">
      <c r="B52" s="2" t="inlineStr">
        <is>
          <t>Policy benchmark (SAA) mean</t>
        </is>
      </c>
      <c r="C52" s="6" t="n"/>
    </row>
    <row r="53">
      <c r="B53" s="2" t="inlineStr">
        <is>
          <t>Standard deviation</t>
        </is>
      </c>
      <c r="C53" s="6" t="n"/>
    </row>
    <row r="54">
      <c r="B54" s="2" t="inlineStr">
        <is>
          <t>Lowest month</t>
        </is>
      </c>
      <c r="C54" s="6" t="n"/>
    </row>
    <row r="55">
      <c r="B55" s="2" t="inlineStr">
        <is>
          <t>Highest month</t>
        </is>
      </c>
      <c r="C55" s="6" t="n"/>
    </row>
    <row r="56">
      <c r="B56" s="2" t="inlineStr">
        <is>
          <t>Latest month</t>
        </is>
      </c>
      <c r="C56" s="6" t="n"/>
    </row>
    <row r="58">
      <c r="A58" s="7" t="inlineStr">
        <is>
          <t>Geographic exposure (optional)</t>
        </is>
      </c>
      <c r="B58" s="8" t="inlineStr"/>
      <c r="C58" s="8" t="inlineStr">
        <is>
          <t>Share %</t>
        </is>
      </c>
      <c r="D58" s="8" t="inlineStr">
        <is>
          <t>Markets</t>
        </is>
      </c>
    </row>
    <row r="59">
      <c r="A59" s="2" t="inlineStr">
        <is>
          <t>Developed markets</t>
        </is>
      </c>
      <c r="C59" s="9" t="n"/>
      <c r="D59" s="14" t="n"/>
    </row>
    <row r="60">
      <c r="A60" s="2" t="inlineStr">
        <is>
          <t>Emerging / frontier markets</t>
        </is>
      </c>
      <c r="C60" s="9" t="n"/>
      <c r="D60" s="14" t="n"/>
    </row>
    <row r="61">
      <c r="A61" s="2" t="inlineStr">
        <is>
          <t>Total markets</t>
        </is>
      </c>
      <c r="D61" s="14" t="n"/>
    </row>
    <row r="62">
      <c r="A62" s="3" t="inlineStr">
        <is>
          <t>Top developed-market countries</t>
        </is>
      </c>
    </row>
    <row r="63">
      <c r="B63" s="10" t="n"/>
      <c r="C63" s="9" t="n"/>
    </row>
    <row r="64">
      <c r="B64" s="10" t="n"/>
      <c r="C64" s="9" t="n"/>
    </row>
    <row r="65">
      <c r="B65" s="10" t="n"/>
      <c r="C65" s="9" t="n"/>
    </row>
    <row r="66">
      <c r="B66" s="10" t="n"/>
      <c r="C66" s="9" t="n"/>
    </row>
    <row r="67">
      <c r="B67" s="10" t="n"/>
      <c r="C67" s="9" t="n"/>
    </row>
    <row r="68">
      <c r="A68" s="3" t="inlineStr">
        <is>
          <t>Top emerging-market countries</t>
        </is>
      </c>
    </row>
    <row r="69">
      <c r="B69" s="10" t="n"/>
      <c r="C69" s="9" t="n"/>
    </row>
    <row r="70">
      <c r="B70" s="10" t="n"/>
      <c r="C70" s="9" t="n"/>
    </row>
    <row r="71">
      <c r="B71" s="10" t="n"/>
      <c r="C71" s="9" t="n"/>
    </row>
    <row r="72">
      <c r="B72" s="10" t="n"/>
      <c r="C72" s="9" t="n"/>
    </row>
    <row r="73">
      <c r="B73" s="10" t="n"/>
      <c r="C73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OPEB</t>
        </is>
      </c>
    </row>
    <row r="2">
      <c r="A2" s="3" t="inlineStr">
        <is>
          <t>Yellow cells are inputs. Percent as printed (0.1 means 0.1%); money in $ millions.</t>
        </is>
      </c>
    </row>
    <row r="4">
      <c r="A4" s="2" t="inlineStr">
        <is>
          <t>Total market value ($ millions)</t>
        </is>
      </c>
      <c r="C4" s="5" t="n"/>
    </row>
    <row r="5">
      <c r="A5" s="2" t="inlineStr">
        <is>
          <t>Cash and equivalents ($ millions)</t>
        </is>
      </c>
      <c r="C5" s="5" t="n"/>
    </row>
    <row r="6">
      <c r="A6" s="2" t="inlineStr">
        <is>
          <t>Growth of $1, trailing 5 years (optional)</t>
        </is>
      </c>
      <c r="C6" s="6" t="n"/>
    </row>
    <row r="8">
      <c r="A8" s="7" t="inlineStr">
        <is>
          <t>Performance (% net of fees)</t>
        </is>
      </c>
      <c r="B8" s="8" t="inlineStr"/>
      <c r="C8" s="8" t="inlineStr">
        <is>
          <t>1M</t>
        </is>
      </c>
      <c r="D8" s="8" t="inlineStr">
        <is>
          <t>3M</t>
        </is>
      </c>
      <c r="E8" s="8" t="inlineStr">
        <is>
          <t>FYTD</t>
        </is>
      </c>
      <c r="F8" s="8" t="inlineStr">
        <is>
          <t>YTD</t>
        </is>
      </c>
      <c r="G8" s="8" t="inlineStr">
        <is>
          <t>1Y</t>
        </is>
      </c>
      <c r="H8" s="8" t="inlineStr">
        <is>
          <t>3Y</t>
        </is>
      </c>
      <c r="I8" s="8" t="inlineStr">
        <is>
          <t>5Y</t>
        </is>
      </c>
      <c r="J8" s="8" t="inlineStr">
        <is>
          <t>10Y</t>
        </is>
      </c>
    </row>
    <row r="9">
      <c r="A9" s="2" t="inlineStr">
        <is>
          <t>Total Fund — net return</t>
        </is>
      </c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2" t="inlineStr">
        <is>
          <t>Total Fund — policy benchmark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2" t="inlineStr">
        <is>
          <t>Total Fund — actuarial hurdle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2" t="inlineStr">
        <is>
          <t>Growth — return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2" t="inlineStr">
        <is>
          <t>Growth — benchmark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2" t="inlineStr">
        <is>
          <t>Credit — return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2" t="inlineStr">
        <is>
          <t>Credit — benchmark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2" t="inlineStr">
        <is>
          <t>Real Assets &amp; Inflation Hedges — return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2" t="inlineStr">
        <is>
          <t>Real Assets &amp; Inflation Hedges — benchmark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2" t="inlineStr">
        <is>
          <t>Risk Reduction &amp; Mitigation — return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 s="2" t="inlineStr">
        <is>
          <t>Risk Reduction &amp; Mitigation — benchmark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</row>
    <row r="21">
      <c r="A21" s="7" t="inlineStr">
        <is>
          <t>Allocation</t>
        </is>
      </c>
      <c r="B21" s="8" t="inlineStr">
        <is>
          <t>Label (other line only)</t>
        </is>
      </c>
      <c r="C21" s="8" t="inlineStr">
        <is>
          <t>Market value $M</t>
        </is>
      </c>
      <c r="D21" s="8" t="inlineStr">
        <is>
          <t>Weight %</t>
        </is>
      </c>
      <c r="E21" s="8" t="inlineStr">
        <is>
          <t>Target %</t>
        </is>
      </c>
      <c r="F21" s="8" t="inlineStr">
        <is>
          <t>Month flow $M</t>
        </is>
      </c>
    </row>
    <row r="22">
      <c r="A22" s="2" t="inlineStr">
        <is>
          <t>Growth</t>
        </is>
      </c>
      <c r="C22" s="5" t="n"/>
      <c r="D22" s="9" t="n"/>
      <c r="E22" s="9" t="n"/>
      <c r="F22" s="5" t="n"/>
    </row>
    <row r="23">
      <c r="A23" s="2" t="inlineStr">
        <is>
          <t>Credit</t>
        </is>
      </c>
      <c r="C23" s="5" t="n"/>
      <c r="D23" s="9" t="n"/>
      <c r="E23" s="9" t="n"/>
      <c r="F23" s="5" t="n"/>
    </row>
    <row r="24">
      <c r="A24" s="2" t="inlineStr">
        <is>
          <t>Real Assets &amp; Inflation Hedges</t>
        </is>
      </c>
      <c r="C24" s="5" t="n"/>
      <c r="D24" s="9" t="n"/>
      <c r="E24" s="9" t="n"/>
      <c r="F24" s="5" t="n"/>
    </row>
    <row r="25">
      <c r="A25" s="2" t="inlineStr">
        <is>
          <t>Risk Reduction &amp; Mitigation</t>
        </is>
      </c>
      <c r="C25" s="5" t="n"/>
      <c r="D25" s="9" t="n"/>
      <c r="E25" s="9" t="n"/>
      <c r="F25" s="5" t="n"/>
    </row>
    <row r="26">
      <c r="A26" s="2" t="inlineStr">
        <is>
          <t>Other line (overlays, other assets, unitemized; optional)</t>
        </is>
      </c>
      <c r="B26" s="10" t="n"/>
      <c r="C26" s="5" t="n"/>
      <c r="D26" s="9" t="n"/>
      <c r="F26" s="5" t="n"/>
    </row>
    <row r="27">
      <c r="A27" s="3" t="inlineStr">
        <is>
          <t>Sum (should match the total and 100%)</t>
        </is>
      </c>
      <c r="C27" s="11">
        <f>SUM(C22:C26)</f>
        <v/>
      </c>
      <c r="D27" s="12">
        <f>SUM(D22:D26)</f>
        <v/>
      </c>
      <c r="F27" s="11">
        <f>SUM(F22:F26)</f>
        <v/>
      </c>
    </row>
    <row r="29">
      <c r="A29" s="7" t="inlineStr">
        <is>
          <t>Overlay programs (Total Fund only, $ millions)</t>
        </is>
      </c>
      <c r="B29" s="8" t="inlineStr">
        <is>
          <t>Program</t>
        </is>
      </c>
      <c r="C29" s="8" t="inlineStr">
        <is>
          <t>Month gain</t>
        </is>
      </c>
      <c r="D29" s="8" t="inlineStr">
        <is>
          <t>Since inception</t>
        </is>
      </c>
    </row>
    <row r="30">
      <c r="B30" s="10" t="n"/>
      <c r="C30" s="13" t="n"/>
      <c r="D30" s="13" t="n"/>
    </row>
    <row r="31">
      <c r="B31" s="10" t="n"/>
      <c r="C31" s="13" t="n"/>
      <c r="D31" s="13" t="n"/>
    </row>
    <row r="32">
      <c r="B32" s="10" t="n"/>
      <c r="C32" s="13" t="n"/>
      <c r="D32" s="13" t="n"/>
    </row>
    <row r="33">
      <c r="B33" s="10" t="n"/>
      <c r="C33" s="13" t="n"/>
      <c r="D33" s="13" t="n"/>
    </row>
    <row r="35">
      <c r="A35" s="7" t="inlineStr">
        <is>
          <t>Return distribution, last 120 months (% per month)</t>
        </is>
      </c>
      <c r="B35" s="8" t="inlineStr">
        <is>
          <t>Bin</t>
        </is>
      </c>
      <c r="C35" s="8" t="inlineStr">
        <is>
          <t>Months</t>
        </is>
      </c>
    </row>
    <row r="36">
      <c r="B36" s="2" t="inlineStr">
        <is>
          <t>≤ -6</t>
        </is>
      </c>
      <c r="C36" s="14" t="n"/>
    </row>
    <row r="37">
      <c r="B37" s="2" t="inlineStr">
        <is>
          <t>-6 to -5</t>
        </is>
      </c>
      <c r="C37" s="14" t="n"/>
    </row>
    <row r="38">
      <c r="B38" s="2" t="inlineStr">
        <is>
          <t>-5 to -4</t>
        </is>
      </c>
      <c r="C38" s="14" t="n"/>
    </row>
    <row r="39">
      <c r="B39" s="2" t="inlineStr">
        <is>
          <t>-4 to -3</t>
        </is>
      </c>
      <c r="C39" s="14" t="n"/>
    </row>
    <row r="40">
      <c r="B40" s="2" t="inlineStr">
        <is>
          <t>-3 to -2</t>
        </is>
      </c>
      <c r="C40" s="14" t="n"/>
    </row>
    <row r="41">
      <c r="B41" s="2" t="inlineStr">
        <is>
          <t>-2 to -1</t>
        </is>
      </c>
      <c r="C41" s="14" t="n"/>
    </row>
    <row r="42">
      <c r="B42" s="2" t="inlineStr">
        <is>
          <t>-1 to 0</t>
        </is>
      </c>
      <c r="C42" s="14" t="n"/>
    </row>
    <row r="43">
      <c r="B43" s="2" t="inlineStr">
        <is>
          <t>0 to 1</t>
        </is>
      </c>
      <c r="C43" s="14" t="n"/>
    </row>
    <row r="44">
      <c r="B44" s="2" t="inlineStr">
        <is>
          <t>1 to 2</t>
        </is>
      </c>
      <c r="C44" s="14" t="n"/>
    </row>
    <row r="45">
      <c r="B45" s="2" t="inlineStr">
        <is>
          <t>2 to 3</t>
        </is>
      </c>
      <c r="C45" s="14" t="n"/>
    </row>
    <row r="46">
      <c r="B46" s="2" t="inlineStr">
        <is>
          <t>3 to 4</t>
        </is>
      </c>
      <c r="C46" s="14" t="n"/>
    </row>
    <row r="47">
      <c r="B47" s="2" t="inlineStr">
        <is>
          <t>4 to 5</t>
        </is>
      </c>
      <c r="C47" s="14" t="n"/>
    </row>
    <row r="48">
      <c r="B48" s="2" t="inlineStr">
        <is>
          <t>5 to 6</t>
        </is>
      </c>
      <c r="C48" s="14" t="n"/>
    </row>
    <row r="49">
      <c r="B49" s="2" t="inlineStr">
        <is>
          <t>≥ 6</t>
        </is>
      </c>
      <c r="C49" s="14" t="n"/>
    </row>
    <row r="51">
      <c r="B51" s="2" t="inlineStr">
        <is>
          <t>Mean monthly return</t>
        </is>
      </c>
      <c r="C51" s="6" t="n"/>
    </row>
    <row r="52">
      <c r="B52" s="2" t="inlineStr">
        <is>
          <t>Policy benchmark (SAA) mean</t>
        </is>
      </c>
      <c r="C52" s="6" t="n"/>
    </row>
    <row r="53">
      <c r="B53" s="2" t="inlineStr">
        <is>
          <t>Standard deviation</t>
        </is>
      </c>
      <c r="C53" s="6" t="n"/>
    </row>
    <row r="54">
      <c r="B54" s="2" t="inlineStr">
        <is>
          <t>Lowest month</t>
        </is>
      </c>
      <c r="C54" s="6" t="n"/>
    </row>
    <row r="55">
      <c r="B55" s="2" t="inlineStr">
        <is>
          <t>Highest month</t>
        </is>
      </c>
      <c r="C55" s="6" t="n"/>
    </row>
    <row r="56">
      <c r="B56" s="2" t="inlineStr">
        <is>
          <t>Latest month</t>
        </is>
      </c>
      <c r="C56" s="6" t="n"/>
    </row>
    <row r="58">
      <c r="A58" s="7" t="inlineStr">
        <is>
          <t>Geographic exposure (optional)</t>
        </is>
      </c>
      <c r="B58" s="8" t="inlineStr"/>
      <c r="C58" s="8" t="inlineStr">
        <is>
          <t>Share %</t>
        </is>
      </c>
      <c r="D58" s="8" t="inlineStr">
        <is>
          <t>Markets</t>
        </is>
      </c>
    </row>
    <row r="59">
      <c r="A59" s="2" t="inlineStr">
        <is>
          <t>Developed markets</t>
        </is>
      </c>
      <c r="C59" s="9" t="n"/>
      <c r="D59" s="14" t="n"/>
    </row>
    <row r="60">
      <c r="A60" s="2" t="inlineStr">
        <is>
          <t>Emerging / frontier markets</t>
        </is>
      </c>
      <c r="C60" s="9" t="n"/>
      <c r="D60" s="14" t="n"/>
    </row>
    <row r="61">
      <c r="A61" s="2" t="inlineStr">
        <is>
          <t>Total markets</t>
        </is>
      </c>
      <c r="D61" s="14" t="n"/>
    </row>
    <row r="62">
      <c r="A62" s="3" t="inlineStr">
        <is>
          <t>Top developed-market countries</t>
        </is>
      </c>
    </row>
    <row r="63">
      <c r="B63" s="10" t="n"/>
      <c r="C63" s="9" t="n"/>
    </row>
    <row r="64">
      <c r="B64" s="10" t="n"/>
      <c r="C64" s="9" t="n"/>
    </row>
    <row r="65">
      <c r="B65" s="10" t="n"/>
      <c r="C65" s="9" t="n"/>
    </row>
    <row r="66">
      <c r="B66" s="10" t="n"/>
      <c r="C66" s="9" t="n"/>
    </row>
    <row r="67">
      <c r="B67" s="10" t="n"/>
      <c r="C67" s="9" t="n"/>
    </row>
    <row r="68">
      <c r="A68" s="3" t="inlineStr">
        <is>
          <t>Top emerging-market countries</t>
        </is>
      </c>
    </row>
    <row r="69">
      <c r="B69" s="10" t="n"/>
      <c r="C69" s="9" t="n"/>
    </row>
    <row r="70">
      <c r="B70" s="10" t="n"/>
      <c r="C70" s="9" t="n"/>
    </row>
    <row r="71">
      <c r="B71" s="10" t="n"/>
      <c r="C71" s="9" t="n"/>
    </row>
    <row r="72">
      <c r="B72" s="10" t="n"/>
      <c r="C72" s="9" t="n"/>
    </row>
    <row r="73">
      <c r="B73" s="10" t="n"/>
      <c r="C73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48" customWidth="1" min="3" max="3"/>
  </cols>
  <sheetData>
    <row r="1">
      <c r="A1" s="1" t="inlineStr">
        <is>
          <t>Market table (index total returns, %)</t>
        </is>
      </c>
    </row>
    <row r="2">
      <c r="A2" s="3" t="inlineStr">
        <is>
          <t>One row per index, grouped as the report groups them.</t>
        </is>
      </c>
    </row>
    <row r="4">
      <c r="A4" s="7" t="inlineStr">
        <is>
          <t>Group</t>
        </is>
      </c>
      <c r="B4" s="8" t="inlineStr">
        <is>
          <t>Index</t>
        </is>
      </c>
      <c r="C4" s="8" t="inlineStr">
        <is>
          <t>Description</t>
        </is>
      </c>
      <c r="D4" s="8" t="inlineStr">
        <is>
          <t>1M</t>
        </is>
      </c>
      <c r="E4" s="8" t="inlineStr">
        <is>
          <t>3M</t>
        </is>
      </c>
      <c r="F4" s="8" t="inlineStr">
        <is>
          <t>FYTD</t>
        </is>
      </c>
      <c r="G4" s="8" t="inlineStr">
        <is>
          <t>YTD</t>
        </is>
      </c>
      <c r="H4" s="8" t="inlineStr">
        <is>
          <t>1Y</t>
        </is>
      </c>
      <c r="I4" s="8" t="inlineStr">
        <is>
          <t>3Y</t>
        </is>
      </c>
      <c r="J4" s="8" t="inlineStr">
        <is>
          <t>5Y</t>
        </is>
      </c>
      <c r="K4" s="8" t="inlineStr">
        <is>
          <t>10Y</t>
        </is>
      </c>
    </row>
    <row r="5">
      <c r="A5" s="10" t="n"/>
      <c r="B5" s="10" t="n"/>
      <c r="C5" s="10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A6" s="10" t="n"/>
      <c r="B6" s="10" t="n"/>
      <c r="C6" s="10" t="n"/>
      <c r="D6" s="9" t="n"/>
      <c r="E6" s="9" t="n"/>
      <c r="F6" s="9" t="n"/>
      <c r="G6" s="9" t="n"/>
      <c r="H6" s="9" t="n"/>
      <c r="I6" s="9" t="n"/>
      <c r="J6" s="9" t="n"/>
      <c r="K6" s="9" t="n"/>
    </row>
    <row r="7">
      <c r="A7" s="10" t="n"/>
      <c r="B7" s="10" t="n"/>
      <c r="C7" s="10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10" t="n"/>
      <c r="B8" s="10" t="n"/>
      <c r="C8" s="10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A9" s="10" t="n"/>
      <c r="B9" s="10" t="n"/>
      <c r="C9" s="10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10" t="n"/>
      <c r="B10" s="10" t="n"/>
      <c r="C10" s="10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10" t="n"/>
      <c r="B11" s="10" t="n"/>
      <c r="C11" s="10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10" t="n"/>
      <c r="B12" s="10" t="n"/>
      <c r="C12" s="10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10" t="n"/>
      <c r="B13" s="10" t="n"/>
      <c r="C13" s="10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10" t="n"/>
      <c r="B14" s="10" t="n"/>
      <c r="C14" s="10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10" t="n"/>
      <c r="B15" s="10" t="n"/>
      <c r="C15" s="10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10" t="n"/>
      <c r="B16" s="10" t="n"/>
      <c r="C16" s="10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10" t="n"/>
      <c r="B17" s="10" t="n"/>
      <c r="C17" s="10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10" t="n"/>
      <c r="B18" s="10" t="n"/>
      <c r="C18" s="10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10" t="n"/>
      <c r="B19" s="10" t="n"/>
      <c r="C19" s="10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10" t="n"/>
      <c r="B20" s="10" t="n"/>
      <c r="C20" s="10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10" t="n"/>
      <c r="B21" s="10" t="n"/>
      <c r="C21" s="10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10" t="n"/>
      <c r="B22" s="10" t="n"/>
      <c r="C22" s="10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10" t="n"/>
      <c r="B23" s="10" t="n"/>
      <c r="C23" s="10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10" t="n"/>
      <c r="B24" s="10" t="n"/>
      <c r="C24" s="10" t="n"/>
      <c r="D24" s="9" t="n"/>
      <c r="E24" s="9" t="n"/>
      <c r="F24" s="9" t="n"/>
      <c r="G24" s="9" t="n"/>
      <c r="H24" s="9" t="n"/>
      <c r="I24" s="9" t="n"/>
      <c r="J24" s="9" t="n"/>
      <c r="K24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00" customWidth="1" min="3" max="3"/>
  </cols>
  <sheetData>
    <row r="1">
      <c r="A1" s="1" t="inlineStr">
        <is>
          <t>Macro strip</t>
        </is>
      </c>
    </row>
    <row r="2">
      <c r="A2" s="3" t="inlineStr">
        <is>
          <t>Label, value as shown on the slide, and a detail line with its source or page.</t>
        </is>
      </c>
    </row>
    <row r="4">
      <c r="A4" s="7" t="inlineStr">
        <is>
          <t>Label</t>
        </is>
      </c>
      <c r="B4" s="8" t="inlineStr">
        <is>
          <t>Value</t>
        </is>
      </c>
      <c r="C4" s="8" t="inlineStr">
        <is>
          <t>Detail</t>
        </is>
      </c>
    </row>
    <row r="5">
      <c r="A5" s="10" t="n"/>
      <c r="B5" s="10" t="n"/>
      <c r="C5" s="10" t="n"/>
    </row>
    <row r="6">
      <c r="A6" s="10" t="n"/>
      <c r="B6" s="10" t="n"/>
      <c r="C6" s="10" t="n"/>
    </row>
    <row r="7">
      <c r="A7" s="10" t="n"/>
      <c r="B7" s="10" t="n"/>
      <c r="C7" s="10" t="n"/>
    </row>
    <row r="8">
      <c r="A8" s="10" t="n"/>
      <c r="B8" s="10" t="n"/>
      <c r="C8" s="10" t="n"/>
    </row>
    <row r="9">
      <c r="A9" s="10" t="n"/>
      <c r="B9" s="10" t="n"/>
      <c r="C9" s="10" t="n"/>
    </row>
    <row r="10">
      <c r="A10" s="10" t="n"/>
      <c r="B10" s="10" t="n"/>
      <c r="C10" s="10" t="n"/>
    </row>
    <row r="11">
      <c r="A11" s="10" t="n"/>
      <c r="B11" s="10" t="n"/>
      <c r="C11" s="10" t="n"/>
    </row>
    <row r="12">
      <c r="A12" s="10" t="n"/>
      <c r="B12" s="10" t="n"/>
      <c r="C12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  <col width="16" customWidth="1" min="3" max="3"/>
    <col width="8" customWidth="1" min="4" max="4"/>
  </cols>
  <sheetData>
    <row r="1">
      <c r="A1" s="1" t="inlineStr">
        <is>
          <t>Items for attention</t>
        </is>
      </c>
    </row>
    <row r="2">
      <c r="A2" s="3" t="inlineStr">
        <is>
          <t>Area, the item as it should read, its status and the report page (optional).</t>
        </is>
      </c>
    </row>
    <row r="4">
      <c r="A4" s="7" t="inlineStr">
        <is>
          <t>Area</t>
        </is>
      </c>
      <c r="B4" s="8" t="inlineStr">
        <is>
          <t>Item</t>
        </is>
      </c>
      <c r="C4" s="8" t="inlineStr">
        <is>
          <t>Status</t>
        </is>
      </c>
      <c r="D4" s="8" t="inlineStr">
        <is>
          <t>Page</t>
        </is>
      </c>
    </row>
    <row r="5">
      <c r="A5" s="10" t="n"/>
      <c r="B5" s="10" t="n"/>
      <c r="C5" s="10" t="n"/>
      <c r="D5" s="14" t="n"/>
    </row>
    <row r="6">
      <c r="A6" s="10" t="n"/>
      <c r="B6" s="10" t="n"/>
      <c r="C6" s="10" t="n"/>
      <c r="D6" s="14" t="n"/>
    </row>
    <row r="7">
      <c r="A7" s="10" t="n"/>
      <c r="B7" s="10" t="n"/>
      <c r="C7" s="10" t="n"/>
      <c r="D7" s="14" t="n"/>
    </row>
    <row r="8">
      <c r="A8" s="10" t="n"/>
      <c r="B8" s="10" t="n"/>
      <c r="C8" s="10" t="n"/>
      <c r="D8" s="14" t="n"/>
    </row>
    <row r="9">
      <c r="A9" s="10" t="n"/>
      <c r="B9" s="10" t="n"/>
      <c r="C9" s="10" t="n"/>
      <c r="D9" s="14" t="n"/>
    </row>
    <row r="10">
      <c r="A10" s="10" t="n"/>
      <c r="B10" s="10" t="n"/>
      <c r="C10" s="10" t="n"/>
      <c r="D10" s="14" t="n"/>
    </row>
    <row r="11">
      <c r="A11" s="10" t="n"/>
      <c r="B11" s="10" t="n"/>
      <c r="C11" s="10" t="n"/>
      <c r="D11" s="14" t="n"/>
    </row>
    <row r="12">
      <c r="A12" s="10" t="n"/>
      <c r="B12" s="10" t="n"/>
      <c r="C12" s="10" t="n"/>
      <c r="D12" s="14" t="n"/>
    </row>
    <row r="13">
      <c r="A13" s="10" t="n"/>
      <c r="B13" s="10" t="n"/>
      <c r="C13" s="10" t="n"/>
      <c r="D13" s="14" t="n"/>
    </row>
    <row r="14">
      <c r="A14" s="10" t="n"/>
      <c r="B14" s="10" t="n"/>
      <c r="C14" s="10" t="n"/>
      <c r="D14" s="14" t="n"/>
    </row>
    <row r="15">
      <c r="A15" s="10" t="n"/>
      <c r="B15" s="10" t="n"/>
      <c r="C15" s="10" t="n"/>
      <c r="D15" s="14" t="n"/>
    </row>
    <row r="16">
      <c r="A16" s="10" t="n"/>
      <c r="B16" s="10" t="n"/>
      <c r="C16" s="10" t="n"/>
      <c r="D16" s="14" t="n"/>
    </row>
    <row r="17">
      <c r="A17" s="10" t="n"/>
      <c r="B17" s="10" t="n"/>
      <c r="C17" s="10" t="n"/>
      <c r="D17" s="14" t="n"/>
    </row>
    <row r="18">
      <c r="A18" s="10" t="n"/>
      <c r="B18" s="10" t="n"/>
      <c r="C18" s="10" t="n"/>
      <c r="D18" s="14" t="n"/>
    </row>
    <row r="19">
      <c r="A19" s="10" t="n"/>
      <c r="B19" s="10" t="n"/>
      <c r="C19" s="10" t="n"/>
      <c r="D19" s="14" t="n"/>
    </row>
    <row r="20">
      <c r="A20" s="10" t="n"/>
      <c r="B20" s="10" t="n"/>
      <c r="C20" s="10" t="n"/>
      <c r="D20" s="14" t="n"/>
    </row>
    <row r="21">
      <c r="A21" s="10" t="n"/>
      <c r="B21" s="10" t="n"/>
      <c r="C21" s="10" t="n"/>
      <c r="D21" s="14" t="n"/>
    </row>
    <row r="22">
      <c r="A22" s="10" t="n"/>
      <c r="B22" s="10" t="n"/>
      <c r="C22" s="10" t="n"/>
      <c r="D22" s="14" t="n"/>
    </row>
    <row r="23">
      <c r="A23" s="10" t="n"/>
      <c r="B23" s="10" t="n"/>
      <c r="C23" s="10" t="n"/>
      <c r="D23" s="14" t="n"/>
    </row>
    <row r="24">
      <c r="A24" s="10" t="n"/>
      <c r="B24" s="10" t="n"/>
      <c r="C24" s="10" t="n"/>
      <c r="D24" s="14" t="n"/>
    </row>
    <row r="25">
      <c r="A25" s="10" t="n"/>
      <c r="B25" s="10" t="n"/>
      <c r="C25" s="10" t="n"/>
      <c r="D25" s="14" t="n"/>
    </row>
    <row r="26">
      <c r="A26" s="10" t="n"/>
      <c r="B26" s="10" t="n"/>
      <c r="C26" s="10" t="n"/>
      <c r="D26" s="14" t="n"/>
    </row>
    <row r="27">
      <c r="A27" s="10" t="n"/>
      <c r="B27" s="10" t="n"/>
      <c r="C27" s="10" t="n"/>
      <c r="D27" s="14" t="n"/>
    </row>
    <row r="28">
      <c r="A28" s="10" t="n"/>
      <c r="B28" s="10" t="n"/>
      <c r="C28" s="10" t="n"/>
      <c r="D28" s="14" t="n"/>
    </row>
    <row r="29">
      <c r="A29" s="10" t="n"/>
      <c r="B29" s="10" t="n"/>
      <c r="C29" s="10" t="n"/>
      <c r="D29" s="14" t="n"/>
    </row>
    <row r="30">
      <c r="A30" s="10" t="n"/>
      <c r="B30" s="10" t="n"/>
      <c r="C30" s="10" t="n"/>
      <c r="D30" s="14" t="n"/>
    </row>
    <row r="31">
      <c r="A31" s="10" t="n"/>
      <c r="B31" s="10" t="n"/>
      <c r="C31" s="10" t="n"/>
      <c r="D31" s="14" t="n"/>
    </row>
    <row r="32">
      <c r="A32" s="10" t="n"/>
      <c r="B32" s="10" t="n"/>
      <c r="C32" s="10" t="n"/>
      <c r="D32" s="14" t="n"/>
    </row>
    <row r="33">
      <c r="A33" s="10" t="n"/>
      <c r="B33" s="10" t="n"/>
      <c r="C33" s="10" t="n"/>
      <c r="D33" s="14" t="n"/>
    </row>
    <row r="34">
      <c r="A34" s="10" t="n"/>
      <c r="B34" s="10" t="n"/>
      <c r="C34" s="10" t="n"/>
      <c r="D34" s="14" t="n"/>
    </row>
  </sheetData>
  <dataValidations count="1">
    <dataValidation sqref="C5 C6 C7 C8 C9 C10 C11 C12 C13 C14 C15 C16 C17 C18 C19 C20 C21 C22 C23 C24 C25 C26 C27 C28 C29 C30 C31 C32 C33 C34" showDropDown="0" showInputMessage="0" showErrorMessage="0" allowBlank="1" type="list">
      <formula1>"In progress,In development,For attention,Quiet period,Completed"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0" customWidth="1" min="3" max="3"/>
  </cols>
  <sheetData>
    <row r="1">
      <c r="A1" s="1" t="inlineStr">
        <is>
          <t>Checks</t>
        </is>
      </c>
    </row>
    <row r="2">
      <c r="A2" s="3" t="inlineStr">
        <is>
          <t>The report's own identities. Every line should say OK before you export.</t>
        </is>
      </c>
    </row>
    <row r="4">
      <c r="A4" s="7" t="inlineStr">
        <is>
          <t>Check</t>
        </is>
      </c>
      <c r="B4" s="8" t="inlineStr">
        <is>
          <t>Value</t>
        </is>
      </c>
      <c r="C4" s="8" t="inlineStr">
        <is>
          <t>Result</t>
        </is>
      </c>
    </row>
    <row r="5">
      <c r="A5" s="2" t="inlineStr">
        <is>
          <t>Data through is a month end</t>
        </is>
      </c>
      <c r="B5" s="2">
        <f>Report!C5</f>
        <v/>
      </c>
      <c r="C5" s="15">
        <f>IF(AND(ISNUMBER(Report!C5),EOMONTH(Report!C5,0)=Report!C5),"OK","CHECK")</f>
        <v/>
      </c>
    </row>
    <row r="6">
      <c r="A6" s="2" t="inlineStr">
        <is>
          <t>Report date is on or after data through</t>
        </is>
      </c>
      <c r="B6" s="2">
        <f>Report!C4</f>
        <v/>
      </c>
      <c r="C6" s="15">
        <f>IF(AND(ISNUMBER(Report!C4),Report!C4&gt;=Report!C5),"OK","CHECK")</f>
        <v/>
      </c>
    </row>
    <row r="7">
      <c r="A7" s="2" t="inlineStr">
        <is>
          <t>Pension Fund: total market value and cash entered</t>
        </is>
      </c>
      <c r="B7" s="2">
        <f>COUNT(Pension!C4,Pension!C5)</f>
        <v/>
      </c>
      <c r="C7" s="15">
        <f>IF(COUNT(Pension!C4,Pension!C5)=2,"OK","CHECK")</f>
        <v/>
      </c>
    </row>
    <row r="8">
      <c r="A8" s="2" t="inlineStr">
        <is>
          <t>Pension Fund: Total Fund return and benchmark for 1M, FYTD and 1Y</t>
        </is>
      </c>
      <c r="B8" s="2">
        <f>COUNT(Pension!C9,Pension!E9,Pension!G9,Pension!C10,Pension!E10,Pension!G10)</f>
        <v/>
      </c>
      <c r="C8" s="15">
        <f>IF(COUNT(Pension!C9,Pension!E9,Pension!G9,Pension!C10,Pension!E10,Pension!G10)=6,"OK","CHECK")</f>
        <v/>
      </c>
    </row>
    <row r="9">
      <c r="A9" s="2" t="inlineStr">
        <is>
          <t>Pension Fund: every return has a benchmark for the same period</t>
        </is>
      </c>
      <c r="B9" s="2">
        <f>SUMPRODUCT(--((Pension!C12:J12="")&lt;&gt;(Pension!C13:J13="")))+SUMPRODUCT(--((Pension!C14:J14="")&lt;&gt;(Pension!C15:J15="")))+SUMPRODUCT(--((Pension!C16:J16="")&lt;&gt;(Pension!C17:J17="")))+SUMPRODUCT(--((Pension!C18:J18="")&lt;&gt;(Pension!C19:J19="")))+SUMPRODUCT(--((Pension!C9:J9="")&lt;&gt;(Pension!C10:J10="")))</f>
        <v/>
      </c>
      <c r="C9" s="15">
        <f>IF(SUMPRODUCT(--((Pension!C12:J12="")&lt;&gt;(Pension!C13:J13="")))+SUMPRODUCT(--((Pension!C14:J14="")&lt;&gt;(Pension!C15:J15="")))+SUMPRODUCT(--((Pension!C16:J16="")&lt;&gt;(Pension!C17:J17="")))+SUMPRODUCT(--((Pension!C18:J18="")&lt;&gt;(Pension!C19:J19="")))+SUMPRODUCT(--((Pension!C9:J9="")&lt;&gt;(Pension!C10:J10="")))=0,"OK","CHECK")</f>
        <v/>
      </c>
    </row>
    <row r="10">
      <c r="A10" s="2" t="inlineStr">
        <is>
          <t>Pension Fund: category weights add to 100% (±0.3)</t>
        </is>
      </c>
      <c r="B10" s="2">
        <f>SUM(Pension!D22:D26)</f>
        <v/>
      </c>
      <c r="C10" s="15">
        <f>IF(ABS(SUM(Pension!D22:D26)-100)&lt;=0.3,"OK","CHECK")</f>
        <v/>
      </c>
    </row>
    <row r="11">
      <c r="A11" s="2" t="inlineStr">
        <is>
          <t>Pension Fund: category market values add to the total</t>
        </is>
      </c>
      <c r="B11" s="2">
        <f>SUM(Pension!C22:C26)</f>
        <v/>
      </c>
      <c r="C11" s="15">
        <f>IF(AND(ISNUMBER(Pension!C4),ABS(SUM(Pension!C22:C26)-Pension!C4)&lt;=MAX(2,0.003*Pension!C4)),"OK","CHECK")</f>
        <v/>
      </c>
    </row>
    <row r="12">
      <c r="A12" s="2" t="inlineStr">
        <is>
          <t>Pension Fund: 14 bin counts add to 120 months</t>
        </is>
      </c>
      <c r="B12" s="2">
        <f>SUM(Pension!C36:C49)</f>
        <v/>
      </c>
      <c r="C12" s="15">
        <f>IF(AND(COUNT(Pension!C36:C49)=14,SUM(Pension!C36:C49)=120),"OK","CHECK")</f>
        <v/>
      </c>
    </row>
    <row r="13">
      <c r="A13" s="2" t="inlineStr">
        <is>
          <t>Pension Fund: six distribution statistics entered</t>
        </is>
      </c>
      <c r="B13" s="2">
        <f>COUNT(Pension!C51:C56)</f>
        <v/>
      </c>
      <c r="C13" s="15">
        <f>IF(COUNT(Pension!C51:C56)=6,"OK","CHECK")</f>
        <v/>
      </c>
    </row>
    <row r="14">
      <c r="A14" s="2" t="inlineStr">
        <is>
          <t>Pension Fund: DM + EM shares add to 100% (if geography entered)</t>
        </is>
      </c>
      <c r="B14" s="2">
        <f>SUM(Pension!C59:C60)</f>
        <v/>
      </c>
      <c r="C14" s="15">
        <f>IF(COUNT(Pension!C59:C60)=0,"OK",IF(AND(COUNT(Pension!C59:C60)=2,ABS(SUM(Pension!C59:C60)-100)&lt;=0.2),"OK","CHECK"))</f>
        <v/>
      </c>
    </row>
    <row r="15">
      <c r="A15" s="2" t="inlineStr">
        <is>
          <t>OPEB Trust: total market value and cash entered</t>
        </is>
      </c>
      <c r="B15" s="2">
        <f>COUNT(OPEB!C4,OPEB!C5)</f>
        <v/>
      </c>
      <c r="C15" s="15">
        <f>IF(COUNT(OPEB!C4,OPEB!C5)=2,"OK","CHECK")</f>
        <v/>
      </c>
    </row>
    <row r="16">
      <c r="A16" s="2" t="inlineStr">
        <is>
          <t>OPEB Trust: Total Fund return and benchmark for 1M, FYTD and 1Y</t>
        </is>
      </c>
      <c r="B16" s="2">
        <f>COUNT(OPEB!C9,OPEB!E9,OPEB!G9,OPEB!C10,OPEB!E10,OPEB!G10)</f>
        <v/>
      </c>
      <c r="C16" s="15">
        <f>IF(COUNT(OPEB!C9,OPEB!E9,OPEB!G9,OPEB!C10,OPEB!E10,OPEB!G10)=6,"OK","CHECK")</f>
        <v/>
      </c>
    </row>
    <row r="17">
      <c r="A17" s="2" t="inlineStr">
        <is>
          <t>OPEB Trust: every return has a benchmark for the same period</t>
        </is>
      </c>
      <c r="B17" s="2">
        <f>SUMPRODUCT(--((OPEB!C12:J12="")&lt;&gt;(OPEB!C13:J13="")))+SUMPRODUCT(--((OPEB!C14:J14="")&lt;&gt;(OPEB!C15:J15="")))+SUMPRODUCT(--((OPEB!C16:J16="")&lt;&gt;(OPEB!C17:J17="")))+SUMPRODUCT(--((OPEB!C18:J18="")&lt;&gt;(OPEB!C19:J19="")))+SUMPRODUCT(--((OPEB!C9:J9="")&lt;&gt;(OPEB!C10:J10="")))</f>
        <v/>
      </c>
      <c r="C17" s="15">
        <f>IF(SUMPRODUCT(--((OPEB!C12:J12="")&lt;&gt;(OPEB!C13:J13="")))+SUMPRODUCT(--((OPEB!C14:J14="")&lt;&gt;(OPEB!C15:J15="")))+SUMPRODUCT(--((OPEB!C16:J16="")&lt;&gt;(OPEB!C17:J17="")))+SUMPRODUCT(--((OPEB!C18:J18="")&lt;&gt;(OPEB!C19:J19="")))+SUMPRODUCT(--((OPEB!C9:J9="")&lt;&gt;(OPEB!C10:J10="")))=0,"OK","CHECK")</f>
        <v/>
      </c>
    </row>
    <row r="18">
      <c r="A18" s="2" t="inlineStr">
        <is>
          <t>OPEB Trust: category weights add to 100% (±0.3)</t>
        </is>
      </c>
      <c r="B18" s="2">
        <f>SUM(OPEB!D22:D26)</f>
        <v/>
      </c>
      <c r="C18" s="15">
        <f>IF(ABS(SUM(OPEB!D22:D26)-100)&lt;=0.3,"OK","CHECK")</f>
        <v/>
      </c>
    </row>
    <row r="19">
      <c r="A19" s="2" t="inlineStr">
        <is>
          <t>OPEB Trust: category market values add to the total</t>
        </is>
      </c>
      <c r="B19" s="2">
        <f>SUM(OPEB!C22:C26)</f>
        <v/>
      </c>
      <c r="C19" s="15">
        <f>IF(AND(ISNUMBER(OPEB!C4),ABS(SUM(OPEB!C22:C26)-OPEB!C4)&lt;=MAX(2,0.003*OPEB!C4)),"OK","CHECK")</f>
        <v/>
      </c>
    </row>
    <row r="20">
      <c r="A20" s="2" t="inlineStr">
        <is>
          <t>OPEB Trust: 14 bin counts add to 120 months</t>
        </is>
      </c>
      <c r="B20" s="2">
        <f>SUM(OPEB!C36:C49)</f>
        <v/>
      </c>
      <c r="C20" s="15">
        <f>IF(AND(COUNT(OPEB!C36:C49)=14,SUM(OPEB!C36:C49)=120),"OK","CHECK")</f>
        <v/>
      </c>
    </row>
    <row r="21">
      <c r="A21" s="2" t="inlineStr">
        <is>
          <t>OPEB Trust: six distribution statistics entered</t>
        </is>
      </c>
      <c r="B21" s="2">
        <f>COUNT(OPEB!C51:C56)</f>
        <v/>
      </c>
      <c r="C21" s="15">
        <f>IF(COUNT(OPEB!C51:C56)=6,"OK","CHECK")</f>
        <v/>
      </c>
    </row>
    <row r="22">
      <c r="A22" s="2" t="inlineStr">
        <is>
          <t>OPEB Trust: DM + EM shares add to 100% (if geography entered)</t>
        </is>
      </c>
      <c r="B22" s="2">
        <f>SUM(OPEB!C59:C60)</f>
        <v/>
      </c>
      <c r="C22" s="15">
        <f>IF(COUNT(OPEB!C59:C60)=0,"OK",IF(AND(COUNT(OPEB!C59:C60)=2,ABS(SUM(OPEB!C59:C60)-100)&lt;=0.2),"OK","CHECK"))</f>
        <v/>
      </c>
    </row>
    <row r="23">
      <c r="A23" s="2" t="inlineStr">
        <is>
          <t>Market table has its as-of date (if indexes entered)</t>
        </is>
      </c>
      <c r="B23" s="2">
        <f>COUNTA(Markets!B5:B24)</f>
        <v/>
      </c>
      <c r="C23" s="15">
        <f>IF(OR(COUNTA(Markets!B5:B24)=0,ISNUMBER(Report!C6)),"OK","CHECK")</f>
        <v/>
      </c>
    </row>
    <row r="24">
      <c r="A24" s="2" t="inlineStr">
        <is>
          <t>Every market index has a group</t>
        </is>
      </c>
      <c r="B24" s="2">
        <f>SUMPRODUCT(--(Markets!B5:B24&lt;&gt;""),--(Markets!A5:A24=""))</f>
        <v/>
      </c>
      <c r="C24" s="15">
        <f>IF(SUMPRODUCT(--(Markets!B5:B24&lt;&gt;""),--(Markets!A5:A24=""))=0,"OK","CHECK")</f>
        <v/>
      </c>
    </row>
    <row r="26">
      <c r="A26" s="16" t="inlineStr">
        <is>
          <t>All checks</t>
        </is>
      </c>
      <c r="C26" s="15">
        <f>IF(COUNTIF(C5:C24,"OK")=20,"OK","CHECK")</f>
        <v/>
      </c>
    </row>
  </sheetData>
  <conditionalFormatting sqref="C5:C24">
    <cfRule type="cellIs" priority="1" operator="equal" dxfId="0">
      <formula>"OK"</formula>
    </cfRule>
    <cfRule type="cellIs" priority="2" operator="equal" dxfId="1">
      <formula>"CHECK"</formula>
    </cfRule>
  </conditionalFormatting>
  <conditionalFormatting sqref="C26">
    <cfRule type="cellIs" priority="3" operator="equal" dxfId="0">
      <formula>"OK"</formula>
    </cfRule>
    <cfRule type="cellIs" priority="4" operator="equal" dxfId="1">
      <formula>"CHECK"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30" customWidth="1" min="3" max="3"/>
    <col width="16" customWidth="1" min="4" max="4"/>
    <col width="7" customWidth="1" min="5" max="5"/>
    <col width="12" customWidth="1" min="6" max="6"/>
    <col width="40" customWidth="1" min="7" max="7"/>
  </cols>
  <sheetData>
    <row r="1">
      <c r="A1" t="inlineStr">
        <is>
          <t>section</t>
        </is>
      </c>
      <c r="B1" t="inlineStr">
        <is>
          <t>entity</t>
        </is>
      </c>
      <c r="C1" t="inlineStr">
        <is>
          <t>item</t>
        </is>
      </c>
      <c r="D1" t="inlineStr">
        <is>
          <t>measure</t>
        </is>
      </c>
      <c r="E1" t="inlineStr">
        <is>
          <t>period</t>
        </is>
      </c>
      <c r="F1" t="inlineStr">
        <is>
          <t>value</t>
        </is>
      </c>
      <c r="G1" t="inlineStr">
        <is>
          <t>text</t>
        </is>
      </c>
    </row>
    <row r="2">
      <c r="A2" t="inlineStr">
        <is>
          <t>report</t>
        </is>
      </c>
      <c r="C2" t="inlineStr">
        <is>
          <t>format</t>
        </is>
      </c>
      <c r="G2" t="inlineStr">
        <is>
          <t>cio-template-1</t>
        </is>
      </c>
    </row>
    <row r="3">
      <c r="A3" t="inlineStr">
        <is>
          <t>report</t>
        </is>
      </c>
      <c r="C3" t="inlineStr">
        <is>
          <t>report_date</t>
        </is>
      </c>
      <c r="G3">
        <f>IF(Report!C4="","",YEAR(Report!C4)&amp;"-"&amp;TEXT(MONTH(Report!C4),"00")&amp;"-"&amp;TEXT(DAY(Report!C4),"00"))</f>
        <v/>
      </c>
    </row>
    <row r="4">
      <c r="A4" t="inlineStr">
        <is>
          <t>report</t>
        </is>
      </c>
      <c r="C4" t="inlineStr">
        <is>
          <t>data_through</t>
        </is>
      </c>
      <c r="G4">
        <f>IF(Report!C5="","",YEAR(Report!C5)&amp;"-"&amp;TEXT(MONTH(Report!C5),"00")&amp;"-"&amp;TEXT(DAY(Report!C5),"00"))</f>
        <v/>
      </c>
    </row>
    <row r="5">
      <c r="A5" t="inlineStr">
        <is>
          <t>report</t>
        </is>
      </c>
      <c r="C5" t="inlineStr">
        <is>
          <t>market_as_of</t>
        </is>
      </c>
      <c r="G5">
        <f>IF(Report!C6="","",YEAR(Report!C6)&amp;"-"&amp;TEXT(MONTH(Report!C6),"00")&amp;"-"&amp;TEXT(DAY(Report!C6),"00"))</f>
        <v/>
      </c>
    </row>
    <row r="6">
      <c r="A6" t="inlineStr">
        <is>
          <t>fund</t>
        </is>
      </c>
      <c r="B6" t="inlineStr">
        <is>
          <t>pension</t>
        </is>
      </c>
      <c r="C6" t="inlineStr">
        <is>
          <t>TOTAL</t>
        </is>
      </c>
      <c r="D6" t="inlineStr">
        <is>
          <t>market_value</t>
        </is>
      </c>
      <c r="F6">
        <f>IF(Pension!C4="","",Pension!C4)</f>
        <v/>
      </c>
    </row>
    <row r="7">
      <c r="A7" t="inlineStr">
        <is>
          <t>fund</t>
        </is>
      </c>
      <c r="B7" t="inlineStr">
        <is>
          <t>pension</t>
        </is>
      </c>
      <c r="C7" t="inlineStr">
        <is>
          <t>TOTAL</t>
        </is>
      </c>
      <c r="D7" t="inlineStr">
        <is>
          <t>cash</t>
        </is>
      </c>
      <c r="F7">
        <f>IF(Pension!C5="","",Pension!C5)</f>
        <v/>
      </c>
    </row>
    <row r="8">
      <c r="A8" t="inlineStr">
        <is>
          <t>fund</t>
        </is>
      </c>
      <c r="B8" t="inlineStr">
        <is>
          <t>pension</t>
        </is>
      </c>
      <c r="C8" t="inlineStr">
        <is>
          <t>TOTAL</t>
        </is>
      </c>
      <c r="D8" t="inlineStr">
        <is>
          <t>growth_of_dollar</t>
        </is>
      </c>
      <c r="F8">
        <f>IF(Pension!C6="","",Pension!C6)</f>
        <v/>
      </c>
    </row>
    <row r="9">
      <c r="A9" t="inlineStr">
        <is>
          <t>performance</t>
        </is>
      </c>
      <c r="B9" t="inlineStr">
        <is>
          <t>pension</t>
        </is>
      </c>
      <c r="C9" t="inlineStr">
        <is>
          <t>TOTAL</t>
        </is>
      </c>
      <c r="D9" t="inlineStr">
        <is>
          <t>return</t>
        </is>
      </c>
      <c r="E9" t="inlineStr">
        <is>
          <t>1M</t>
        </is>
      </c>
      <c r="F9">
        <f>IF(Pension!C9="","",Pension!C9)</f>
        <v/>
      </c>
    </row>
    <row r="10">
      <c r="A10" t="inlineStr">
        <is>
          <t>performance</t>
        </is>
      </c>
      <c r="B10" t="inlineStr">
        <is>
          <t>pension</t>
        </is>
      </c>
      <c r="C10" t="inlineStr">
        <is>
          <t>TOTAL</t>
        </is>
      </c>
      <c r="D10" t="inlineStr">
        <is>
          <t>return</t>
        </is>
      </c>
      <c r="E10" t="inlineStr">
        <is>
          <t>3M</t>
        </is>
      </c>
      <c r="F10">
        <f>IF(Pension!D9="","",Pension!D9)</f>
        <v/>
      </c>
    </row>
    <row r="11">
      <c r="A11" t="inlineStr">
        <is>
          <t>performance</t>
        </is>
      </c>
      <c r="B11" t="inlineStr">
        <is>
          <t>pension</t>
        </is>
      </c>
      <c r="C11" t="inlineStr">
        <is>
          <t>TOTAL</t>
        </is>
      </c>
      <c r="D11" t="inlineStr">
        <is>
          <t>return</t>
        </is>
      </c>
      <c r="E11" t="inlineStr">
        <is>
          <t>FYTD</t>
        </is>
      </c>
      <c r="F11">
        <f>IF(Pension!E9="","",Pension!E9)</f>
        <v/>
      </c>
    </row>
    <row r="12">
      <c r="A12" t="inlineStr">
        <is>
          <t>performance</t>
        </is>
      </c>
      <c r="B12" t="inlineStr">
        <is>
          <t>pension</t>
        </is>
      </c>
      <c r="C12" t="inlineStr">
        <is>
          <t>TOTAL</t>
        </is>
      </c>
      <c r="D12" t="inlineStr">
        <is>
          <t>return</t>
        </is>
      </c>
      <c r="E12" t="inlineStr">
        <is>
          <t>YTD</t>
        </is>
      </c>
      <c r="F12">
        <f>IF(Pension!F9="","",Pension!F9)</f>
        <v/>
      </c>
    </row>
    <row r="13">
      <c r="A13" t="inlineStr">
        <is>
          <t>performance</t>
        </is>
      </c>
      <c r="B13" t="inlineStr">
        <is>
          <t>pension</t>
        </is>
      </c>
      <c r="C13" t="inlineStr">
        <is>
          <t>TOTAL</t>
        </is>
      </c>
      <c r="D13" t="inlineStr">
        <is>
          <t>return</t>
        </is>
      </c>
      <c r="E13" t="inlineStr">
        <is>
          <t>1Y</t>
        </is>
      </c>
      <c r="F13">
        <f>IF(Pension!G9="","",Pension!G9)</f>
        <v/>
      </c>
    </row>
    <row r="14">
      <c r="A14" t="inlineStr">
        <is>
          <t>performance</t>
        </is>
      </c>
      <c r="B14" t="inlineStr">
        <is>
          <t>pension</t>
        </is>
      </c>
      <c r="C14" t="inlineStr">
        <is>
          <t>TOTAL</t>
        </is>
      </c>
      <c r="D14" t="inlineStr">
        <is>
          <t>return</t>
        </is>
      </c>
      <c r="E14" t="inlineStr">
        <is>
          <t>3Y</t>
        </is>
      </c>
      <c r="F14">
        <f>IF(Pension!H9="","",Pension!H9)</f>
        <v/>
      </c>
    </row>
    <row r="15">
      <c r="A15" t="inlineStr">
        <is>
          <t>performance</t>
        </is>
      </c>
      <c r="B15" t="inlineStr">
        <is>
          <t>pension</t>
        </is>
      </c>
      <c r="C15" t="inlineStr">
        <is>
          <t>TOTAL</t>
        </is>
      </c>
      <c r="D15" t="inlineStr">
        <is>
          <t>return</t>
        </is>
      </c>
      <c r="E15" t="inlineStr">
        <is>
          <t>5Y</t>
        </is>
      </c>
      <c r="F15">
        <f>IF(Pension!I9="","",Pension!I9)</f>
        <v/>
      </c>
    </row>
    <row r="16">
      <c r="A16" t="inlineStr">
        <is>
          <t>performance</t>
        </is>
      </c>
      <c r="B16" t="inlineStr">
        <is>
          <t>pension</t>
        </is>
      </c>
      <c r="C16" t="inlineStr">
        <is>
          <t>TOTAL</t>
        </is>
      </c>
      <c r="D16" t="inlineStr">
        <is>
          <t>return</t>
        </is>
      </c>
      <c r="E16" t="inlineStr">
        <is>
          <t>10Y</t>
        </is>
      </c>
      <c r="F16">
        <f>IF(Pension!J9="","",Pension!J9)</f>
        <v/>
      </c>
    </row>
    <row r="17">
      <c r="A17" t="inlineStr">
        <is>
          <t>performance</t>
        </is>
      </c>
      <c r="B17" t="inlineStr">
        <is>
          <t>pension</t>
        </is>
      </c>
      <c r="C17" t="inlineStr">
        <is>
          <t>TOTAL</t>
        </is>
      </c>
      <c r="D17" t="inlineStr">
        <is>
          <t>benchmark</t>
        </is>
      </c>
      <c r="E17" t="inlineStr">
        <is>
          <t>1M</t>
        </is>
      </c>
      <c r="F17">
        <f>IF(Pension!C10="","",Pension!C10)</f>
        <v/>
      </c>
    </row>
    <row r="18">
      <c r="A18" t="inlineStr">
        <is>
          <t>performance</t>
        </is>
      </c>
      <c r="B18" t="inlineStr">
        <is>
          <t>pension</t>
        </is>
      </c>
      <c r="C18" t="inlineStr">
        <is>
          <t>TOTAL</t>
        </is>
      </c>
      <c r="D18" t="inlineStr">
        <is>
          <t>benchmark</t>
        </is>
      </c>
      <c r="E18" t="inlineStr">
        <is>
          <t>3M</t>
        </is>
      </c>
      <c r="F18">
        <f>IF(Pension!D10="","",Pension!D10)</f>
        <v/>
      </c>
    </row>
    <row r="19">
      <c r="A19" t="inlineStr">
        <is>
          <t>performance</t>
        </is>
      </c>
      <c r="B19" t="inlineStr">
        <is>
          <t>pension</t>
        </is>
      </c>
      <c r="C19" t="inlineStr">
        <is>
          <t>TOTAL</t>
        </is>
      </c>
      <c r="D19" t="inlineStr">
        <is>
          <t>benchmark</t>
        </is>
      </c>
      <c r="E19" t="inlineStr">
        <is>
          <t>FYTD</t>
        </is>
      </c>
      <c r="F19">
        <f>IF(Pension!E10="","",Pension!E10)</f>
        <v/>
      </c>
    </row>
    <row r="20">
      <c r="A20" t="inlineStr">
        <is>
          <t>performance</t>
        </is>
      </c>
      <c r="B20" t="inlineStr">
        <is>
          <t>pension</t>
        </is>
      </c>
      <c r="C20" t="inlineStr">
        <is>
          <t>TOTAL</t>
        </is>
      </c>
      <c r="D20" t="inlineStr">
        <is>
          <t>benchmark</t>
        </is>
      </c>
      <c r="E20" t="inlineStr">
        <is>
          <t>YTD</t>
        </is>
      </c>
      <c r="F20">
        <f>IF(Pension!F10="","",Pension!F10)</f>
        <v/>
      </c>
    </row>
    <row r="21">
      <c r="A21" t="inlineStr">
        <is>
          <t>performance</t>
        </is>
      </c>
      <c r="B21" t="inlineStr">
        <is>
          <t>pension</t>
        </is>
      </c>
      <c r="C21" t="inlineStr">
        <is>
          <t>TOTAL</t>
        </is>
      </c>
      <c r="D21" t="inlineStr">
        <is>
          <t>benchmark</t>
        </is>
      </c>
      <c r="E21" t="inlineStr">
        <is>
          <t>1Y</t>
        </is>
      </c>
      <c r="F21">
        <f>IF(Pension!G10="","",Pension!G10)</f>
        <v/>
      </c>
    </row>
    <row r="22">
      <c r="A22" t="inlineStr">
        <is>
          <t>performance</t>
        </is>
      </c>
      <c r="B22" t="inlineStr">
        <is>
          <t>pension</t>
        </is>
      </c>
      <c r="C22" t="inlineStr">
        <is>
          <t>TOTAL</t>
        </is>
      </c>
      <c r="D22" t="inlineStr">
        <is>
          <t>benchmark</t>
        </is>
      </c>
      <c r="E22" t="inlineStr">
        <is>
          <t>3Y</t>
        </is>
      </c>
      <c r="F22">
        <f>IF(Pension!H10="","",Pension!H10)</f>
        <v/>
      </c>
    </row>
    <row r="23">
      <c r="A23" t="inlineStr">
        <is>
          <t>performance</t>
        </is>
      </c>
      <c r="B23" t="inlineStr">
        <is>
          <t>pension</t>
        </is>
      </c>
      <c r="C23" t="inlineStr">
        <is>
          <t>TOTAL</t>
        </is>
      </c>
      <c r="D23" t="inlineStr">
        <is>
          <t>benchmark</t>
        </is>
      </c>
      <c r="E23" t="inlineStr">
        <is>
          <t>5Y</t>
        </is>
      </c>
      <c r="F23">
        <f>IF(Pension!I10="","",Pension!I10)</f>
        <v/>
      </c>
    </row>
    <row r="24">
      <c r="A24" t="inlineStr">
        <is>
          <t>performance</t>
        </is>
      </c>
      <c r="B24" t="inlineStr">
        <is>
          <t>pension</t>
        </is>
      </c>
      <c r="C24" t="inlineStr">
        <is>
          <t>TOTAL</t>
        </is>
      </c>
      <c r="D24" t="inlineStr">
        <is>
          <t>benchmark</t>
        </is>
      </c>
      <c r="E24" t="inlineStr">
        <is>
          <t>10Y</t>
        </is>
      </c>
      <c r="F24">
        <f>IF(Pension!J10="","",Pension!J10)</f>
        <v/>
      </c>
    </row>
    <row r="25">
      <c r="A25" t="inlineStr">
        <is>
          <t>performance</t>
        </is>
      </c>
      <c r="B25" t="inlineStr">
        <is>
          <t>pension</t>
        </is>
      </c>
      <c r="C25" t="inlineStr">
        <is>
          <t>TOTAL</t>
        </is>
      </c>
      <c r="D25" t="inlineStr">
        <is>
          <t>hurdle</t>
        </is>
      </c>
      <c r="E25" t="inlineStr">
        <is>
          <t>1M</t>
        </is>
      </c>
      <c r="F25">
        <f>IF(Pension!C11="","",Pension!C11)</f>
        <v/>
      </c>
    </row>
    <row r="26">
      <c r="A26" t="inlineStr">
        <is>
          <t>performance</t>
        </is>
      </c>
      <c r="B26" t="inlineStr">
        <is>
          <t>pension</t>
        </is>
      </c>
      <c r="C26" t="inlineStr">
        <is>
          <t>TOTAL</t>
        </is>
      </c>
      <c r="D26" t="inlineStr">
        <is>
          <t>hurdle</t>
        </is>
      </c>
      <c r="E26" t="inlineStr">
        <is>
          <t>3M</t>
        </is>
      </c>
      <c r="F26">
        <f>IF(Pension!D11="","",Pension!D11)</f>
        <v/>
      </c>
    </row>
    <row r="27">
      <c r="A27" t="inlineStr">
        <is>
          <t>performance</t>
        </is>
      </c>
      <c r="B27" t="inlineStr">
        <is>
          <t>pension</t>
        </is>
      </c>
      <c r="C27" t="inlineStr">
        <is>
          <t>TOTAL</t>
        </is>
      </c>
      <c r="D27" t="inlineStr">
        <is>
          <t>hurdle</t>
        </is>
      </c>
      <c r="E27" t="inlineStr">
        <is>
          <t>FYTD</t>
        </is>
      </c>
      <c r="F27">
        <f>IF(Pension!E11="","",Pension!E11)</f>
        <v/>
      </c>
    </row>
    <row r="28">
      <c r="A28" t="inlineStr">
        <is>
          <t>performance</t>
        </is>
      </c>
      <c r="B28" t="inlineStr">
        <is>
          <t>pension</t>
        </is>
      </c>
      <c r="C28" t="inlineStr">
        <is>
          <t>TOTAL</t>
        </is>
      </c>
      <c r="D28" t="inlineStr">
        <is>
          <t>hurdle</t>
        </is>
      </c>
      <c r="E28" t="inlineStr">
        <is>
          <t>YTD</t>
        </is>
      </c>
      <c r="F28">
        <f>IF(Pension!F11="","",Pension!F11)</f>
        <v/>
      </c>
    </row>
    <row r="29">
      <c r="A29" t="inlineStr">
        <is>
          <t>performance</t>
        </is>
      </c>
      <c r="B29" t="inlineStr">
        <is>
          <t>pension</t>
        </is>
      </c>
      <c r="C29" t="inlineStr">
        <is>
          <t>TOTAL</t>
        </is>
      </c>
      <c r="D29" t="inlineStr">
        <is>
          <t>hurdle</t>
        </is>
      </c>
      <c r="E29" t="inlineStr">
        <is>
          <t>1Y</t>
        </is>
      </c>
      <c r="F29">
        <f>IF(Pension!G11="","",Pension!G11)</f>
        <v/>
      </c>
    </row>
    <row r="30">
      <c r="A30" t="inlineStr">
        <is>
          <t>performance</t>
        </is>
      </c>
      <c r="B30" t="inlineStr">
        <is>
          <t>pension</t>
        </is>
      </c>
      <c r="C30" t="inlineStr">
        <is>
          <t>TOTAL</t>
        </is>
      </c>
      <c r="D30" t="inlineStr">
        <is>
          <t>hurdle</t>
        </is>
      </c>
      <c r="E30" t="inlineStr">
        <is>
          <t>3Y</t>
        </is>
      </c>
      <c r="F30">
        <f>IF(Pension!H11="","",Pension!H11)</f>
        <v/>
      </c>
    </row>
    <row r="31">
      <c r="A31" t="inlineStr">
        <is>
          <t>performance</t>
        </is>
      </c>
      <c r="B31" t="inlineStr">
        <is>
          <t>pension</t>
        </is>
      </c>
      <c r="C31" t="inlineStr">
        <is>
          <t>TOTAL</t>
        </is>
      </c>
      <c r="D31" t="inlineStr">
        <is>
          <t>hurdle</t>
        </is>
      </c>
      <c r="E31" t="inlineStr">
        <is>
          <t>5Y</t>
        </is>
      </c>
      <c r="F31">
        <f>IF(Pension!I11="","",Pension!I11)</f>
        <v/>
      </c>
    </row>
    <row r="32">
      <c r="A32" t="inlineStr">
        <is>
          <t>performance</t>
        </is>
      </c>
      <c r="B32" t="inlineStr">
        <is>
          <t>pension</t>
        </is>
      </c>
      <c r="C32" t="inlineStr">
        <is>
          <t>TOTAL</t>
        </is>
      </c>
      <c r="D32" t="inlineStr">
        <is>
          <t>hurdle</t>
        </is>
      </c>
      <c r="E32" t="inlineStr">
        <is>
          <t>10Y</t>
        </is>
      </c>
      <c r="F32">
        <f>IF(Pension!J11="","",Pension!J11)</f>
        <v/>
      </c>
    </row>
    <row r="33">
      <c r="A33" t="inlineStr">
        <is>
          <t>performance</t>
        </is>
      </c>
      <c r="B33" t="inlineStr">
        <is>
          <t>pension</t>
        </is>
      </c>
      <c r="C33" t="inlineStr">
        <is>
          <t>GROWTH</t>
        </is>
      </c>
      <c r="D33" t="inlineStr">
        <is>
          <t>return</t>
        </is>
      </c>
      <c r="E33" t="inlineStr">
        <is>
          <t>1M</t>
        </is>
      </c>
      <c r="F33">
        <f>IF(Pension!C12="","",Pension!C12)</f>
        <v/>
      </c>
    </row>
    <row r="34">
      <c r="A34" t="inlineStr">
        <is>
          <t>performance</t>
        </is>
      </c>
      <c r="B34" t="inlineStr">
        <is>
          <t>pension</t>
        </is>
      </c>
      <c r="C34" t="inlineStr">
        <is>
          <t>GROWTH</t>
        </is>
      </c>
      <c r="D34" t="inlineStr">
        <is>
          <t>return</t>
        </is>
      </c>
      <c r="E34" t="inlineStr">
        <is>
          <t>3M</t>
        </is>
      </c>
      <c r="F34">
        <f>IF(Pension!D12="","",Pension!D12)</f>
        <v/>
      </c>
    </row>
    <row r="35">
      <c r="A35" t="inlineStr">
        <is>
          <t>performance</t>
        </is>
      </c>
      <c r="B35" t="inlineStr">
        <is>
          <t>pension</t>
        </is>
      </c>
      <c r="C35" t="inlineStr">
        <is>
          <t>GROWTH</t>
        </is>
      </c>
      <c r="D35" t="inlineStr">
        <is>
          <t>return</t>
        </is>
      </c>
      <c r="E35" t="inlineStr">
        <is>
          <t>FYTD</t>
        </is>
      </c>
      <c r="F35">
        <f>IF(Pension!E12="","",Pension!E12)</f>
        <v/>
      </c>
    </row>
    <row r="36">
      <c r="A36" t="inlineStr">
        <is>
          <t>performance</t>
        </is>
      </c>
      <c r="B36" t="inlineStr">
        <is>
          <t>pension</t>
        </is>
      </c>
      <c r="C36" t="inlineStr">
        <is>
          <t>GROWTH</t>
        </is>
      </c>
      <c r="D36" t="inlineStr">
        <is>
          <t>return</t>
        </is>
      </c>
      <c r="E36" t="inlineStr">
        <is>
          <t>YTD</t>
        </is>
      </c>
      <c r="F36">
        <f>IF(Pension!F12="","",Pension!F12)</f>
        <v/>
      </c>
    </row>
    <row r="37">
      <c r="A37" t="inlineStr">
        <is>
          <t>performance</t>
        </is>
      </c>
      <c r="B37" t="inlineStr">
        <is>
          <t>pension</t>
        </is>
      </c>
      <c r="C37" t="inlineStr">
        <is>
          <t>GROWTH</t>
        </is>
      </c>
      <c r="D37" t="inlineStr">
        <is>
          <t>return</t>
        </is>
      </c>
      <c r="E37" t="inlineStr">
        <is>
          <t>1Y</t>
        </is>
      </c>
      <c r="F37">
        <f>IF(Pension!G12="","",Pension!G12)</f>
        <v/>
      </c>
    </row>
    <row r="38">
      <c r="A38" t="inlineStr">
        <is>
          <t>performance</t>
        </is>
      </c>
      <c r="B38" t="inlineStr">
        <is>
          <t>pension</t>
        </is>
      </c>
      <c r="C38" t="inlineStr">
        <is>
          <t>GROWTH</t>
        </is>
      </c>
      <c r="D38" t="inlineStr">
        <is>
          <t>return</t>
        </is>
      </c>
      <c r="E38" t="inlineStr">
        <is>
          <t>3Y</t>
        </is>
      </c>
      <c r="F38">
        <f>IF(Pension!H12="","",Pension!H12)</f>
        <v/>
      </c>
    </row>
    <row r="39">
      <c r="A39" t="inlineStr">
        <is>
          <t>performance</t>
        </is>
      </c>
      <c r="B39" t="inlineStr">
        <is>
          <t>pension</t>
        </is>
      </c>
      <c r="C39" t="inlineStr">
        <is>
          <t>GROWTH</t>
        </is>
      </c>
      <c r="D39" t="inlineStr">
        <is>
          <t>return</t>
        </is>
      </c>
      <c r="E39" t="inlineStr">
        <is>
          <t>5Y</t>
        </is>
      </c>
      <c r="F39">
        <f>IF(Pension!I12="","",Pension!I12)</f>
        <v/>
      </c>
    </row>
    <row r="40">
      <c r="A40" t="inlineStr">
        <is>
          <t>performance</t>
        </is>
      </c>
      <c r="B40" t="inlineStr">
        <is>
          <t>pension</t>
        </is>
      </c>
      <c r="C40" t="inlineStr">
        <is>
          <t>GROWTH</t>
        </is>
      </c>
      <c r="D40" t="inlineStr">
        <is>
          <t>return</t>
        </is>
      </c>
      <c r="E40" t="inlineStr">
        <is>
          <t>10Y</t>
        </is>
      </c>
      <c r="F40">
        <f>IF(Pension!J12="","",Pension!J12)</f>
        <v/>
      </c>
    </row>
    <row r="41">
      <c r="A41" t="inlineStr">
        <is>
          <t>performance</t>
        </is>
      </c>
      <c r="B41" t="inlineStr">
        <is>
          <t>pension</t>
        </is>
      </c>
      <c r="C41" t="inlineStr">
        <is>
          <t>GROWTH</t>
        </is>
      </c>
      <c r="D41" t="inlineStr">
        <is>
          <t>benchmark</t>
        </is>
      </c>
      <c r="E41" t="inlineStr">
        <is>
          <t>1M</t>
        </is>
      </c>
      <c r="F41">
        <f>IF(Pension!C13="","",Pension!C13)</f>
        <v/>
      </c>
    </row>
    <row r="42">
      <c r="A42" t="inlineStr">
        <is>
          <t>performance</t>
        </is>
      </c>
      <c r="B42" t="inlineStr">
        <is>
          <t>pension</t>
        </is>
      </c>
      <c r="C42" t="inlineStr">
        <is>
          <t>GROWTH</t>
        </is>
      </c>
      <c r="D42" t="inlineStr">
        <is>
          <t>benchmark</t>
        </is>
      </c>
      <c r="E42" t="inlineStr">
        <is>
          <t>3M</t>
        </is>
      </c>
      <c r="F42">
        <f>IF(Pension!D13="","",Pension!D13)</f>
        <v/>
      </c>
    </row>
    <row r="43">
      <c r="A43" t="inlineStr">
        <is>
          <t>performance</t>
        </is>
      </c>
      <c r="B43" t="inlineStr">
        <is>
          <t>pension</t>
        </is>
      </c>
      <c r="C43" t="inlineStr">
        <is>
          <t>GROWTH</t>
        </is>
      </c>
      <c r="D43" t="inlineStr">
        <is>
          <t>benchmark</t>
        </is>
      </c>
      <c r="E43" t="inlineStr">
        <is>
          <t>FYTD</t>
        </is>
      </c>
      <c r="F43">
        <f>IF(Pension!E13="","",Pension!E13)</f>
        <v/>
      </c>
    </row>
    <row r="44">
      <c r="A44" t="inlineStr">
        <is>
          <t>performance</t>
        </is>
      </c>
      <c r="B44" t="inlineStr">
        <is>
          <t>pension</t>
        </is>
      </c>
      <c r="C44" t="inlineStr">
        <is>
          <t>GROWTH</t>
        </is>
      </c>
      <c r="D44" t="inlineStr">
        <is>
          <t>benchmark</t>
        </is>
      </c>
      <c r="E44" t="inlineStr">
        <is>
          <t>YTD</t>
        </is>
      </c>
      <c r="F44">
        <f>IF(Pension!F13="","",Pension!F13)</f>
        <v/>
      </c>
    </row>
    <row r="45">
      <c r="A45" t="inlineStr">
        <is>
          <t>performance</t>
        </is>
      </c>
      <c r="B45" t="inlineStr">
        <is>
          <t>pension</t>
        </is>
      </c>
      <c r="C45" t="inlineStr">
        <is>
          <t>GROWTH</t>
        </is>
      </c>
      <c r="D45" t="inlineStr">
        <is>
          <t>benchmark</t>
        </is>
      </c>
      <c r="E45" t="inlineStr">
        <is>
          <t>1Y</t>
        </is>
      </c>
      <c r="F45">
        <f>IF(Pension!G13="","",Pension!G13)</f>
        <v/>
      </c>
    </row>
    <row r="46">
      <c r="A46" t="inlineStr">
        <is>
          <t>performance</t>
        </is>
      </c>
      <c r="B46" t="inlineStr">
        <is>
          <t>pension</t>
        </is>
      </c>
      <c r="C46" t="inlineStr">
        <is>
          <t>GROWTH</t>
        </is>
      </c>
      <c r="D46" t="inlineStr">
        <is>
          <t>benchmark</t>
        </is>
      </c>
      <c r="E46" t="inlineStr">
        <is>
          <t>3Y</t>
        </is>
      </c>
      <c r="F46">
        <f>IF(Pension!H13="","",Pension!H13)</f>
        <v/>
      </c>
    </row>
    <row r="47">
      <c r="A47" t="inlineStr">
        <is>
          <t>performance</t>
        </is>
      </c>
      <c r="B47" t="inlineStr">
        <is>
          <t>pension</t>
        </is>
      </c>
      <c r="C47" t="inlineStr">
        <is>
          <t>GROWTH</t>
        </is>
      </c>
      <c r="D47" t="inlineStr">
        <is>
          <t>benchmark</t>
        </is>
      </c>
      <c r="E47" t="inlineStr">
        <is>
          <t>5Y</t>
        </is>
      </c>
      <c r="F47">
        <f>IF(Pension!I13="","",Pension!I13)</f>
        <v/>
      </c>
    </row>
    <row r="48">
      <c r="A48" t="inlineStr">
        <is>
          <t>performance</t>
        </is>
      </c>
      <c r="B48" t="inlineStr">
        <is>
          <t>pension</t>
        </is>
      </c>
      <c r="C48" t="inlineStr">
        <is>
          <t>GROWTH</t>
        </is>
      </c>
      <c r="D48" t="inlineStr">
        <is>
          <t>benchmark</t>
        </is>
      </c>
      <c r="E48" t="inlineStr">
        <is>
          <t>10Y</t>
        </is>
      </c>
      <c r="F48">
        <f>IF(Pension!J13="","",Pension!J13)</f>
        <v/>
      </c>
    </row>
    <row r="49">
      <c r="A49" t="inlineStr">
        <is>
          <t>performance</t>
        </is>
      </c>
      <c r="B49" t="inlineStr">
        <is>
          <t>pension</t>
        </is>
      </c>
      <c r="C49" t="inlineStr">
        <is>
          <t>CREDIT</t>
        </is>
      </c>
      <c r="D49" t="inlineStr">
        <is>
          <t>return</t>
        </is>
      </c>
      <c r="E49" t="inlineStr">
        <is>
          <t>1M</t>
        </is>
      </c>
      <c r="F49">
        <f>IF(Pension!C14="","",Pension!C14)</f>
        <v/>
      </c>
    </row>
    <row r="50">
      <c r="A50" t="inlineStr">
        <is>
          <t>performance</t>
        </is>
      </c>
      <c r="B50" t="inlineStr">
        <is>
          <t>pension</t>
        </is>
      </c>
      <c r="C50" t="inlineStr">
        <is>
          <t>CREDIT</t>
        </is>
      </c>
      <c r="D50" t="inlineStr">
        <is>
          <t>return</t>
        </is>
      </c>
      <c r="E50" t="inlineStr">
        <is>
          <t>3M</t>
        </is>
      </c>
      <c r="F50">
        <f>IF(Pension!D14="","",Pension!D14)</f>
        <v/>
      </c>
    </row>
    <row r="51">
      <c r="A51" t="inlineStr">
        <is>
          <t>performance</t>
        </is>
      </c>
      <c r="B51" t="inlineStr">
        <is>
          <t>pension</t>
        </is>
      </c>
      <c r="C51" t="inlineStr">
        <is>
          <t>CREDIT</t>
        </is>
      </c>
      <c r="D51" t="inlineStr">
        <is>
          <t>return</t>
        </is>
      </c>
      <c r="E51" t="inlineStr">
        <is>
          <t>FYTD</t>
        </is>
      </c>
      <c r="F51">
        <f>IF(Pension!E14="","",Pension!E14)</f>
        <v/>
      </c>
    </row>
    <row r="52">
      <c r="A52" t="inlineStr">
        <is>
          <t>performance</t>
        </is>
      </c>
      <c r="B52" t="inlineStr">
        <is>
          <t>pension</t>
        </is>
      </c>
      <c r="C52" t="inlineStr">
        <is>
          <t>CREDIT</t>
        </is>
      </c>
      <c r="D52" t="inlineStr">
        <is>
          <t>return</t>
        </is>
      </c>
      <c r="E52" t="inlineStr">
        <is>
          <t>YTD</t>
        </is>
      </c>
      <c r="F52">
        <f>IF(Pension!F14="","",Pension!F14)</f>
        <v/>
      </c>
    </row>
    <row r="53">
      <c r="A53" t="inlineStr">
        <is>
          <t>performance</t>
        </is>
      </c>
      <c r="B53" t="inlineStr">
        <is>
          <t>pension</t>
        </is>
      </c>
      <c r="C53" t="inlineStr">
        <is>
          <t>CREDIT</t>
        </is>
      </c>
      <c r="D53" t="inlineStr">
        <is>
          <t>return</t>
        </is>
      </c>
      <c r="E53" t="inlineStr">
        <is>
          <t>1Y</t>
        </is>
      </c>
      <c r="F53">
        <f>IF(Pension!G14="","",Pension!G14)</f>
        <v/>
      </c>
    </row>
    <row r="54">
      <c r="A54" t="inlineStr">
        <is>
          <t>performance</t>
        </is>
      </c>
      <c r="B54" t="inlineStr">
        <is>
          <t>pension</t>
        </is>
      </c>
      <c r="C54" t="inlineStr">
        <is>
          <t>CREDIT</t>
        </is>
      </c>
      <c r="D54" t="inlineStr">
        <is>
          <t>return</t>
        </is>
      </c>
      <c r="E54" t="inlineStr">
        <is>
          <t>3Y</t>
        </is>
      </c>
      <c r="F54">
        <f>IF(Pension!H14="","",Pension!H14)</f>
        <v/>
      </c>
    </row>
    <row r="55">
      <c r="A55" t="inlineStr">
        <is>
          <t>performance</t>
        </is>
      </c>
      <c r="B55" t="inlineStr">
        <is>
          <t>pension</t>
        </is>
      </c>
      <c r="C55" t="inlineStr">
        <is>
          <t>CREDIT</t>
        </is>
      </c>
      <c r="D55" t="inlineStr">
        <is>
          <t>return</t>
        </is>
      </c>
      <c r="E55" t="inlineStr">
        <is>
          <t>5Y</t>
        </is>
      </c>
      <c r="F55">
        <f>IF(Pension!I14="","",Pension!I14)</f>
        <v/>
      </c>
    </row>
    <row r="56">
      <c r="A56" t="inlineStr">
        <is>
          <t>performance</t>
        </is>
      </c>
      <c r="B56" t="inlineStr">
        <is>
          <t>pension</t>
        </is>
      </c>
      <c r="C56" t="inlineStr">
        <is>
          <t>CREDIT</t>
        </is>
      </c>
      <c r="D56" t="inlineStr">
        <is>
          <t>return</t>
        </is>
      </c>
      <c r="E56" t="inlineStr">
        <is>
          <t>10Y</t>
        </is>
      </c>
      <c r="F56">
        <f>IF(Pension!J14="","",Pension!J14)</f>
        <v/>
      </c>
    </row>
    <row r="57">
      <c r="A57" t="inlineStr">
        <is>
          <t>performance</t>
        </is>
      </c>
      <c r="B57" t="inlineStr">
        <is>
          <t>pension</t>
        </is>
      </c>
      <c r="C57" t="inlineStr">
        <is>
          <t>CREDIT</t>
        </is>
      </c>
      <c r="D57" t="inlineStr">
        <is>
          <t>benchmark</t>
        </is>
      </c>
      <c r="E57" t="inlineStr">
        <is>
          <t>1M</t>
        </is>
      </c>
      <c r="F57">
        <f>IF(Pension!C15="","",Pension!C15)</f>
        <v/>
      </c>
    </row>
    <row r="58">
      <c r="A58" t="inlineStr">
        <is>
          <t>performance</t>
        </is>
      </c>
      <c r="B58" t="inlineStr">
        <is>
          <t>pension</t>
        </is>
      </c>
      <c r="C58" t="inlineStr">
        <is>
          <t>CREDIT</t>
        </is>
      </c>
      <c r="D58" t="inlineStr">
        <is>
          <t>benchmark</t>
        </is>
      </c>
      <c r="E58" t="inlineStr">
        <is>
          <t>3M</t>
        </is>
      </c>
      <c r="F58">
        <f>IF(Pension!D15="","",Pension!D15)</f>
        <v/>
      </c>
    </row>
    <row r="59">
      <c r="A59" t="inlineStr">
        <is>
          <t>performance</t>
        </is>
      </c>
      <c r="B59" t="inlineStr">
        <is>
          <t>pension</t>
        </is>
      </c>
      <c r="C59" t="inlineStr">
        <is>
          <t>CREDIT</t>
        </is>
      </c>
      <c r="D59" t="inlineStr">
        <is>
          <t>benchmark</t>
        </is>
      </c>
      <c r="E59" t="inlineStr">
        <is>
          <t>FYTD</t>
        </is>
      </c>
      <c r="F59">
        <f>IF(Pension!E15="","",Pension!E15)</f>
        <v/>
      </c>
    </row>
    <row r="60">
      <c r="A60" t="inlineStr">
        <is>
          <t>performance</t>
        </is>
      </c>
      <c r="B60" t="inlineStr">
        <is>
          <t>pension</t>
        </is>
      </c>
      <c r="C60" t="inlineStr">
        <is>
          <t>CREDIT</t>
        </is>
      </c>
      <c r="D60" t="inlineStr">
        <is>
          <t>benchmark</t>
        </is>
      </c>
      <c r="E60" t="inlineStr">
        <is>
          <t>YTD</t>
        </is>
      </c>
      <c r="F60">
        <f>IF(Pension!F15="","",Pension!F15)</f>
        <v/>
      </c>
    </row>
    <row r="61">
      <c r="A61" t="inlineStr">
        <is>
          <t>performance</t>
        </is>
      </c>
      <c r="B61" t="inlineStr">
        <is>
          <t>pension</t>
        </is>
      </c>
      <c r="C61" t="inlineStr">
        <is>
          <t>CREDIT</t>
        </is>
      </c>
      <c r="D61" t="inlineStr">
        <is>
          <t>benchmark</t>
        </is>
      </c>
      <c r="E61" t="inlineStr">
        <is>
          <t>1Y</t>
        </is>
      </c>
      <c r="F61">
        <f>IF(Pension!G15="","",Pension!G15)</f>
        <v/>
      </c>
    </row>
    <row r="62">
      <c r="A62" t="inlineStr">
        <is>
          <t>performance</t>
        </is>
      </c>
      <c r="B62" t="inlineStr">
        <is>
          <t>pension</t>
        </is>
      </c>
      <c r="C62" t="inlineStr">
        <is>
          <t>CREDIT</t>
        </is>
      </c>
      <c r="D62" t="inlineStr">
        <is>
          <t>benchmark</t>
        </is>
      </c>
      <c r="E62" t="inlineStr">
        <is>
          <t>3Y</t>
        </is>
      </c>
      <c r="F62">
        <f>IF(Pension!H15="","",Pension!H15)</f>
        <v/>
      </c>
    </row>
    <row r="63">
      <c r="A63" t="inlineStr">
        <is>
          <t>performance</t>
        </is>
      </c>
      <c r="B63" t="inlineStr">
        <is>
          <t>pension</t>
        </is>
      </c>
      <c r="C63" t="inlineStr">
        <is>
          <t>CREDIT</t>
        </is>
      </c>
      <c r="D63" t="inlineStr">
        <is>
          <t>benchmark</t>
        </is>
      </c>
      <c r="E63" t="inlineStr">
        <is>
          <t>5Y</t>
        </is>
      </c>
      <c r="F63">
        <f>IF(Pension!I15="","",Pension!I15)</f>
        <v/>
      </c>
    </row>
    <row r="64">
      <c r="A64" t="inlineStr">
        <is>
          <t>performance</t>
        </is>
      </c>
      <c r="B64" t="inlineStr">
        <is>
          <t>pension</t>
        </is>
      </c>
      <c r="C64" t="inlineStr">
        <is>
          <t>CREDIT</t>
        </is>
      </c>
      <c r="D64" t="inlineStr">
        <is>
          <t>benchmark</t>
        </is>
      </c>
      <c r="E64" t="inlineStr">
        <is>
          <t>10Y</t>
        </is>
      </c>
      <c r="F64">
        <f>IF(Pension!J15="","",Pension!J15)</f>
        <v/>
      </c>
    </row>
    <row r="65">
      <c r="A65" t="inlineStr">
        <is>
          <t>performance</t>
        </is>
      </c>
      <c r="B65" t="inlineStr">
        <is>
          <t>pension</t>
        </is>
      </c>
      <c r="C65" t="inlineStr">
        <is>
          <t>RAIH</t>
        </is>
      </c>
      <c r="D65" t="inlineStr">
        <is>
          <t>return</t>
        </is>
      </c>
      <c r="E65" t="inlineStr">
        <is>
          <t>1M</t>
        </is>
      </c>
      <c r="F65">
        <f>IF(Pension!C16="","",Pension!C16)</f>
        <v/>
      </c>
    </row>
    <row r="66">
      <c r="A66" t="inlineStr">
        <is>
          <t>performance</t>
        </is>
      </c>
      <c r="B66" t="inlineStr">
        <is>
          <t>pension</t>
        </is>
      </c>
      <c r="C66" t="inlineStr">
        <is>
          <t>RAIH</t>
        </is>
      </c>
      <c r="D66" t="inlineStr">
        <is>
          <t>return</t>
        </is>
      </c>
      <c r="E66" t="inlineStr">
        <is>
          <t>3M</t>
        </is>
      </c>
      <c r="F66">
        <f>IF(Pension!D16="","",Pension!D16)</f>
        <v/>
      </c>
    </row>
    <row r="67">
      <c r="A67" t="inlineStr">
        <is>
          <t>performance</t>
        </is>
      </c>
      <c r="B67" t="inlineStr">
        <is>
          <t>pension</t>
        </is>
      </c>
      <c r="C67" t="inlineStr">
        <is>
          <t>RAIH</t>
        </is>
      </c>
      <c r="D67" t="inlineStr">
        <is>
          <t>return</t>
        </is>
      </c>
      <c r="E67" t="inlineStr">
        <is>
          <t>FYTD</t>
        </is>
      </c>
      <c r="F67">
        <f>IF(Pension!E16="","",Pension!E16)</f>
        <v/>
      </c>
    </row>
    <row r="68">
      <c r="A68" t="inlineStr">
        <is>
          <t>performance</t>
        </is>
      </c>
      <c r="B68" t="inlineStr">
        <is>
          <t>pension</t>
        </is>
      </c>
      <c r="C68" t="inlineStr">
        <is>
          <t>RAIH</t>
        </is>
      </c>
      <c r="D68" t="inlineStr">
        <is>
          <t>return</t>
        </is>
      </c>
      <c r="E68" t="inlineStr">
        <is>
          <t>YTD</t>
        </is>
      </c>
      <c r="F68">
        <f>IF(Pension!F16="","",Pension!F16)</f>
        <v/>
      </c>
    </row>
    <row r="69">
      <c r="A69" t="inlineStr">
        <is>
          <t>performance</t>
        </is>
      </c>
      <c r="B69" t="inlineStr">
        <is>
          <t>pension</t>
        </is>
      </c>
      <c r="C69" t="inlineStr">
        <is>
          <t>RAIH</t>
        </is>
      </c>
      <c r="D69" t="inlineStr">
        <is>
          <t>return</t>
        </is>
      </c>
      <c r="E69" t="inlineStr">
        <is>
          <t>1Y</t>
        </is>
      </c>
      <c r="F69">
        <f>IF(Pension!G16="","",Pension!G16)</f>
        <v/>
      </c>
    </row>
    <row r="70">
      <c r="A70" t="inlineStr">
        <is>
          <t>performance</t>
        </is>
      </c>
      <c r="B70" t="inlineStr">
        <is>
          <t>pension</t>
        </is>
      </c>
      <c r="C70" t="inlineStr">
        <is>
          <t>RAIH</t>
        </is>
      </c>
      <c r="D70" t="inlineStr">
        <is>
          <t>return</t>
        </is>
      </c>
      <c r="E70" t="inlineStr">
        <is>
          <t>3Y</t>
        </is>
      </c>
      <c r="F70">
        <f>IF(Pension!H16="","",Pension!H16)</f>
        <v/>
      </c>
    </row>
    <row r="71">
      <c r="A71" t="inlineStr">
        <is>
          <t>performance</t>
        </is>
      </c>
      <c r="B71" t="inlineStr">
        <is>
          <t>pension</t>
        </is>
      </c>
      <c r="C71" t="inlineStr">
        <is>
          <t>RAIH</t>
        </is>
      </c>
      <c r="D71" t="inlineStr">
        <is>
          <t>return</t>
        </is>
      </c>
      <c r="E71" t="inlineStr">
        <is>
          <t>5Y</t>
        </is>
      </c>
      <c r="F71">
        <f>IF(Pension!I16="","",Pension!I16)</f>
        <v/>
      </c>
    </row>
    <row r="72">
      <c r="A72" t="inlineStr">
        <is>
          <t>performance</t>
        </is>
      </c>
      <c r="B72" t="inlineStr">
        <is>
          <t>pension</t>
        </is>
      </c>
      <c r="C72" t="inlineStr">
        <is>
          <t>RAIH</t>
        </is>
      </c>
      <c r="D72" t="inlineStr">
        <is>
          <t>return</t>
        </is>
      </c>
      <c r="E72" t="inlineStr">
        <is>
          <t>10Y</t>
        </is>
      </c>
      <c r="F72">
        <f>IF(Pension!J16="","",Pension!J16)</f>
        <v/>
      </c>
    </row>
    <row r="73">
      <c r="A73" t="inlineStr">
        <is>
          <t>performance</t>
        </is>
      </c>
      <c r="B73" t="inlineStr">
        <is>
          <t>pension</t>
        </is>
      </c>
      <c r="C73" t="inlineStr">
        <is>
          <t>RAIH</t>
        </is>
      </c>
      <c r="D73" t="inlineStr">
        <is>
          <t>benchmark</t>
        </is>
      </c>
      <c r="E73" t="inlineStr">
        <is>
          <t>1M</t>
        </is>
      </c>
      <c r="F73">
        <f>IF(Pension!C17="","",Pension!C17)</f>
        <v/>
      </c>
    </row>
    <row r="74">
      <c r="A74" t="inlineStr">
        <is>
          <t>performance</t>
        </is>
      </c>
      <c r="B74" t="inlineStr">
        <is>
          <t>pension</t>
        </is>
      </c>
      <c r="C74" t="inlineStr">
        <is>
          <t>RAIH</t>
        </is>
      </c>
      <c r="D74" t="inlineStr">
        <is>
          <t>benchmark</t>
        </is>
      </c>
      <c r="E74" t="inlineStr">
        <is>
          <t>3M</t>
        </is>
      </c>
      <c r="F74">
        <f>IF(Pension!D17="","",Pension!D17)</f>
        <v/>
      </c>
    </row>
    <row r="75">
      <c r="A75" t="inlineStr">
        <is>
          <t>performance</t>
        </is>
      </c>
      <c r="B75" t="inlineStr">
        <is>
          <t>pension</t>
        </is>
      </c>
      <c r="C75" t="inlineStr">
        <is>
          <t>RAIH</t>
        </is>
      </c>
      <c r="D75" t="inlineStr">
        <is>
          <t>benchmark</t>
        </is>
      </c>
      <c r="E75" t="inlineStr">
        <is>
          <t>FYTD</t>
        </is>
      </c>
      <c r="F75">
        <f>IF(Pension!E17="","",Pension!E17)</f>
        <v/>
      </c>
    </row>
    <row r="76">
      <c r="A76" t="inlineStr">
        <is>
          <t>performance</t>
        </is>
      </c>
      <c r="B76" t="inlineStr">
        <is>
          <t>pension</t>
        </is>
      </c>
      <c r="C76" t="inlineStr">
        <is>
          <t>RAIH</t>
        </is>
      </c>
      <c r="D76" t="inlineStr">
        <is>
          <t>benchmark</t>
        </is>
      </c>
      <c r="E76" t="inlineStr">
        <is>
          <t>YTD</t>
        </is>
      </c>
      <c r="F76">
        <f>IF(Pension!F17="","",Pension!F17)</f>
        <v/>
      </c>
    </row>
    <row r="77">
      <c r="A77" t="inlineStr">
        <is>
          <t>performance</t>
        </is>
      </c>
      <c r="B77" t="inlineStr">
        <is>
          <t>pension</t>
        </is>
      </c>
      <c r="C77" t="inlineStr">
        <is>
          <t>RAIH</t>
        </is>
      </c>
      <c r="D77" t="inlineStr">
        <is>
          <t>benchmark</t>
        </is>
      </c>
      <c r="E77" t="inlineStr">
        <is>
          <t>1Y</t>
        </is>
      </c>
      <c r="F77">
        <f>IF(Pension!G17="","",Pension!G17)</f>
        <v/>
      </c>
    </row>
    <row r="78">
      <c r="A78" t="inlineStr">
        <is>
          <t>performance</t>
        </is>
      </c>
      <c r="B78" t="inlineStr">
        <is>
          <t>pension</t>
        </is>
      </c>
      <c r="C78" t="inlineStr">
        <is>
          <t>RAIH</t>
        </is>
      </c>
      <c r="D78" t="inlineStr">
        <is>
          <t>benchmark</t>
        </is>
      </c>
      <c r="E78" t="inlineStr">
        <is>
          <t>3Y</t>
        </is>
      </c>
      <c r="F78">
        <f>IF(Pension!H17="","",Pension!H17)</f>
        <v/>
      </c>
    </row>
    <row r="79">
      <c r="A79" t="inlineStr">
        <is>
          <t>performance</t>
        </is>
      </c>
      <c r="B79" t="inlineStr">
        <is>
          <t>pension</t>
        </is>
      </c>
      <c r="C79" t="inlineStr">
        <is>
          <t>RAIH</t>
        </is>
      </c>
      <c r="D79" t="inlineStr">
        <is>
          <t>benchmark</t>
        </is>
      </c>
      <c r="E79" t="inlineStr">
        <is>
          <t>5Y</t>
        </is>
      </c>
      <c r="F79">
        <f>IF(Pension!I17="","",Pension!I17)</f>
        <v/>
      </c>
    </row>
    <row r="80">
      <c r="A80" t="inlineStr">
        <is>
          <t>performance</t>
        </is>
      </c>
      <c r="B80" t="inlineStr">
        <is>
          <t>pension</t>
        </is>
      </c>
      <c r="C80" t="inlineStr">
        <is>
          <t>RAIH</t>
        </is>
      </c>
      <c r="D80" t="inlineStr">
        <is>
          <t>benchmark</t>
        </is>
      </c>
      <c r="E80" t="inlineStr">
        <is>
          <t>10Y</t>
        </is>
      </c>
      <c r="F80">
        <f>IF(Pension!J17="","",Pension!J17)</f>
        <v/>
      </c>
    </row>
    <row r="81">
      <c r="A81" t="inlineStr">
        <is>
          <t>performance</t>
        </is>
      </c>
      <c r="B81" t="inlineStr">
        <is>
          <t>pension</t>
        </is>
      </c>
      <c r="C81" t="inlineStr">
        <is>
          <t>RRM</t>
        </is>
      </c>
      <c r="D81" t="inlineStr">
        <is>
          <t>return</t>
        </is>
      </c>
      <c r="E81" t="inlineStr">
        <is>
          <t>1M</t>
        </is>
      </c>
      <c r="F81">
        <f>IF(Pension!C18="","",Pension!C18)</f>
        <v/>
      </c>
    </row>
    <row r="82">
      <c r="A82" t="inlineStr">
        <is>
          <t>performance</t>
        </is>
      </c>
      <c r="B82" t="inlineStr">
        <is>
          <t>pension</t>
        </is>
      </c>
      <c r="C82" t="inlineStr">
        <is>
          <t>RRM</t>
        </is>
      </c>
      <c r="D82" t="inlineStr">
        <is>
          <t>return</t>
        </is>
      </c>
      <c r="E82" t="inlineStr">
        <is>
          <t>3M</t>
        </is>
      </c>
      <c r="F82">
        <f>IF(Pension!D18="","",Pension!D18)</f>
        <v/>
      </c>
    </row>
    <row r="83">
      <c r="A83" t="inlineStr">
        <is>
          <t>performance</t>
        </is>
      </c>
      <c r="B83" t="inlineStr">
        <is>
          <t>pension</t>
        </is>
      </c>
      <c r="C83" t="inlineStr">
        <is>
          <t>RRM</t>
        </is>
      </c>
      <c r="D83" t="inlineStr">
        <is>
          <t>return</t>
        </is>
      </c>
      <c r="E83" t="inlineStr">
        <is>
          <t>FYTD</t>
        </is>
      </c>
      <c r="F83">
        <f>IF(Pension!E18="","",Pension!E18)</f>
        <v/>
      </c>
    </row>
    <row r="84">
      <c r="A84" t="inlineStr">
        <is>
          <t>performance</t>
        </is>
      </c>
      <c r="B84" t="inlineStr">
        <is>
          <t>pension</t>
        </is>
      </c>
      <c r="C84" t="inlineStr">
        <is>
          <t>RRM</t>
        </is>
      </c>
      <c r="D84" t="inlineStr">
        <is>
          <t>return</t>
        </is>
      </c>
      <c r="E84" t="inlineStr">
        <is>
          <t>YTD</t>
        </is>
      </c>
      <c r="F84">
        <f>IF(Pension!F18="","",Pension!F18)</f>
        <v/>
      </c>
    </row>
    <row r="85">
      <c r="A85" t="inlineStr">
        <is>
          <t>performance</t>
        </is>
      </c>
      <c r="B85" t="inlineStr">
        <is>
          <t>pension</t>
        </is>
      </c>
      <c r="C85" t="inlineStr">
        <is>
          <t>RRM</t>
        </is>
      </c>
      <c r="D85" t="inlineStr">
        <is>
          <t>return</t>
        </is>
      </c>
      <c r="E85" t="inlineStr">
        <is>
          <t>1Y</t>
        </is>
      </c>
      <c r="F85">
        <f>IF(Pension!G18="","",Pension!G18)</f>
        <v/>
      </c>
    </row>
    <row r="86">
      <c r="A86" t="inlineStr">
        <is>
          <t>performance</t>
        </is>
      </c>
      <c r="B86" t="inlineStr">
        <is>
          <t>pension</t>
        </is>
      </c>
      <c r="C86" t="inlineStr">
        <is>
          <t>RRM</t>
        </is>
      </c>
      <c r="D86" t="inlineStr">
        <is>
          <t>return</t>
        </is>
      </c>
      <c r="E86" t="inlineStr">
        <is>
          <t>3Y</t>
        </is>
      </c>
      <c r="F86">
        <f>IF(Pension!H18="","",Pension!H18)</f>
        <v/>
      </c>
    </row>
    <row r="87">
      <c r="A87" t="inlineStr">
        <is>
          <t>performance</t>
        </is>
      </c>
      <c r="B87" t="inlineStr">
        <is>
          <t>pension</t>
        </is>
      </c>
      <c r="C87" t="inlineStr">
        <is>
          <t>RRM</t>
        </is>
      </c>
      <c r="D87" t="inlineStr">
        <is>
          <t>return</t>
        </is>
      </c>
      <c r="E87" t="inlineStr">
        <is>
          <t>5Y</t>
        </is>
      </c>
      <c r="F87">
        <f>IF(Pension!I18="","",Pension!I18)</f>
        <v/>
      </c>
    </row>
    <row r="88">
      <c r="A88" t="inlineStr">
        <is>
          <t>performance</t>
        </is>
      </c>
      <c r="B88" t="inlineStr">
        <is>
          <t>pension</t>
        </is>
      </c>
      <c r="C88" t="inlineStr">
        <is>
          <t>RRM</t>
        </is>
      </c>
      <c r="D88" t="inlineStr">
        <is>
          <t>return</t>
        </is>
      </c>
      <c r="E88" t="inlineStr">
        <is>
          <t>10Y</t>
        </is>
      </c>
      <c r="F88">
        <f>IF(Pension!J18="","",Pension!J18)</f>
        <v/>
      </c>
    </row>
    <row r="89">
      <c r="A89" t="inlineStr">
        <is>
          <t>performance</t>
        </is>
      </c>
      <c r="B89" t="inlineStr">
        <is>
          <t>pension</t>
        </is>
      </c>
      <c r="C89" t="inlineStr">
        <is>
          <t>RRM</t>
        </is>
      </c>
      <c r="D89" t="inlineStr">
        <is>
          <t>benchmark</t>
        </is>
      </c>
      <c r="E89" t="inlineStr">
        <is>
          <t>1M</t>
        </is>
      </c>
      <c r="F89">
        <f>IF(Pension!C19="","",Pension!C19)</f>
        <v/>
      </c>
    </row>
    <row r="90">
      <c r="A90" t="inlineStr">
        <is>
          <t>performance</t>
        </is>
      </c>
      <c r="B90" t="inlineStr">
        <is>
          <t>pension</t>
        </is>
      </c>
      <c r="C90" t="inlineStr">
        <is>
          <t>RRM</t>
        </is>
      </c>
      <c r="D90" t="inlineStr">
        <is>
          <t>benchmark</t>
        </is>
      </c>
      <c r="E90" t="inlineStr">
        <is>
          <t>3M</t>
        </is>
      </c>
      <c r="F90">
        <f>IF(Pension!D19="","",Pension!D19)</f>
        <v/>
      </c>
    </row>
    <row r="91">
      <c r="A91" t="inlineStr">
        <is>
          <t>performance</t>
        </is>
      </c>
      <c r="B91" t="inlineStr">
        <is>
          <t>pension</t>
        </is>
      </c>
      <c r="C91" t="inlineStr">
        <is>
          <t>RRM</t>
        </is>
      </c>
      <c r="D91" t="inlineStr">
        <is>
          <t>benchmark</t>
        </is>
      </c>
      <c r="E91" t="inlineStr">
        <is>
          <t>FYTD</t>
        </is>
      </c>
      <c r="F91">
        <f>IF(Pension!E19="","",Pension!E19)</f>
        <v/>
      </c>
    </row>
    <row r="92">
      <c r="A92" t="inlineStr">
        <is>
          <t>performance</t>
        </is>
      </c>
      <c r="B92" t="inlineStr">
        <is>
          <t>pension</t>
        </is>
      </c>
      <c r="C92" t="inlineStr">
        <is>
          <t>RRM</t>
        </is>
      </c>
      <c r="D92" t="inlineStr">
        <is>
          <t>benchmark</t>
        </is>
      </c>
      <c r="E92" t="inlineStr">
        <is>
          <t>YTD</t>
        </is>
      </c>
      <c r="F92">
        <f>IF(Pension!F19="","",Pension!F19)</f>
        <v/>
      </c>
    </row>
    <row r="93">
      <c r="A93" t="inlineStr">
        <is>
          <t>performance</t>
        </is>
      </c>
      <c r="B93" t="inlineStr">
        <is>
          <t>pension</t>
        </is>
      </c>
      <c r="C93" t="inlineStr">
        <is>
          <t>RRM</t>
        </is>
      </c>
      <c r="D93" t="inlineStr">
        <is>
          <t>benchmark</t>
        </is>
      </c>
      <c r="E93" t="inlineStr">
        <is>
          <t>1Y</t>
        </is>
      </c>
      <c r="F93">
        <f>IF(Pension!G19="","",Pension!G19)</f>
        <v/>
      </c>
    </row>
    <row r="94">
      <c r="A94" t="inlineStr">
        <is>
          <t>performance</t>
        </is>
      </c>
      <c r="B94" t="inlineStr">
        <is>
          <t>pension</t>
        </is>
      </c>
      <c r="C94" t="inlineStr">
        <is>
          <t>RRM</t>
        </is>
      </c>
      <c r="D94" t="inlineStr">
        <is>
          <t>benchmark</t>
        </is>
      </c>
      <c r="E94" t="inlineStr">
        <is>
          <t>3Y</t>
        </is>
      </c>
      <c r="F94">
        <f>IF(Pension!H19="","",Pension!H19)</f>
        <v/>
      </c>
    </row>
    <row r="95">
      <c r="A95" t="inlineStr">
        <is>
          <t>performance</t>
        </is>
      </c>
      <c r="B95" t="inlineStr">
        <is>
          <t>pension</t>
        </is>
      </c>
      <c r="C95" t="inlineStr">
        <is>
          <t>RRM</t>
        </is>
      </c>
      <c r="D95" t="inlineStr">
        <is>
          <t>benchmark</t>
        </is>
      </c>
      <c r="E95" t="inlineStr">
        <is>
          <t>5Y</t>
        </is>
      </c>
      <c r="F95">
        <f>IF(Pension!I19="","",Pension!I19)</f>
        <v/>
      </c>
    </row>
    <row r="96">
      <c r="A96" t="inlineStr">
        <is>
          <t>performance</t>
        </is>
      </c>
      <c r="B96" t="inlineStr">
        <is>
          <t>pension</t>
        </is>
      </c>
      <c r="C96" t="inlineStr">
        <is>
          <t>RRM</t>
        </is>
      </c>
      <c r="D96" t="inlineStr">
        <is>
          <t>benchmark</t>
        </is>
      </c>
      <c r="E96" t="inlineStr">
        <is>
          <t>10Y</t>
        </is>
      </c>
      <c r="F96">
        <f>IF(Pension!J19="","",Pension!J19)</f>
        <v/>
      </c>
    </row>
    <row r="97">
      <c r="A97" t="inlineStr">
        <is>
          <t>allocation</t>
        </is>
      </c>
      <c r="B97" t="inlineStr">
        <is>
          <t>pension</t>
        </is>
      </c>
      <c r="C97" t="inlineStr">
        <is>
          <t>GROWTH</t>
        </is>
      </c>
      <c r="D97" t="inlineStr">
        <is>
          <t>market_value</t>
        </is>
      </c>
      <c r="F97">
        <f>IF(Pension!C22="","",Pension!C22)</f>
        <v/>
      </c>
    </row>
    <row r="98">
      <c r="A98" t="inlineStr">
        <is>
          <t>allocation</t>
        </is>
      </c>
      <c r="B98" t="inlineStr">
        <is>
          <t>pension</t>
        </is>
      </c>
      <c r="C98" t="inlineStr">
        <is>
          <t>GROWTH</t>
        </is>
      </c>
      <c r="D98" t="inlineStr">
        <is>
          <t>weight</t>
        </is>
      </c>
      <c r="F98">
        <f>IF(Pension!D22="","",Pension!D22)</f>
        <v/>
      </c>
    </row>
    <row r="99">
      <c r="A99" t="inlineStr">
        <is>
          <t>allocation</t>
        </is>
      </c>
      <c r="B99" t="inlineStr">
        <is>
          <t>pension</t>
        </is>
      </c>
      <c r="C99" t="inlineStr">
        <is>
          <t>GROWTH</t>
        </is>
      </c>
      <c r="D99" t="inlineStr">
        <is>
          <t>target</t>
        </is>
      </c>
      <c r="F99">
        <f>IF(Pension!E22="","",Pension!E22)</f>
        <v/>
      </c>
    </row>
    <row r="100">
      <c r="A100" t="inlineStr">
        <is>
          <t>allocation</t>
        </is>
      </c>
      <c r="B100" t="inlineStr">
        <is>
          <t>pension</t>
        </is>
      </c>
      <c r="C100" t="inlineStr">
        <is>
          <t>GROWTH</t>
        </is>
      </c>
      <c r="D100" t="inlineStr">
        <is>
          <t>flow</t>
        </is>
      </c>
      <c r="F100">
        <f>IF(Pension!F22="","",Pension!F22)</f>
        <v/>
      </c>
    </row>
    <row r="101">
      <c r="A101" t="inlineStr">
        <is>
          <t>allocation</t>
        </is>
      </c>
      <c r="B101" t="inlineStr">
        <is>
          <t>pension</t>
        </is>
      </c>
      <c r="C101" t="inlineStr">
        <is>
          <t>CREDIT</t>
        </is>
      </c>
      <c r="D101" t="inlineStr">
        <is>
          <t>market_value</t>
        </is>
      </c>
      <c r="F101">
        <f>IF(Pension!C23="","",Pension!C23)</f>
        <v/>
      </c>
    </row>
    <row r="102">
      <c r="A102" t="inlineStr">
        <is>
          <t>allocation</t>
        </is>
      </c>
      <c r="B102" t="inlineStr">
        <is>
          <t>pension</t>
        </is>
      </c>
      <c r="C102" t="inlineStr">
        <is>
          <t>CREDIT</t>
        </is>
      </c>
      <c r="D102" t="inlineStr">
        <is>
          <t>weight</t>
        </is>
      </c>
      <c r="F102">
        <f>IF(Pension!D23="","",Pension!D23)</f>
        <v/>
      </c>
    </row>
    <row r="103">
      <c r="A103" t="inlineStr">
        <is>
          <t>allocation</t>
        </is>
      </c>
      <c r="B103" t="inlineStr">
        <is>
          <t>pension</t>
        </is>
      </c>
      <c r="C103" t="inlineStr">
        <is>
          <t>CREDIT</t>
        </is>
      </c>
      <c r="D103" t="inlineStr">
        <is>
          <t>target</t>
        </is>
      </c>
      <c r="F103">
        <f>IF(Pension!E23="","",Pension!E23)</f>
        <v/>
      </c>
    </row>
    <row r="104">
      <c r="A104" t="inlineStr">
        <is>
          <t>allocation</t>
        </is>
      </c>
      <c r="B104" t="inlineStr">
        <is>
          <t>pension</t>
        </is>
      </c>
      <c r="C104" t="inlineStr">
        <is>
          <t>CREDIT</t>
        </is>
      </c>
      <c r="D104" t="inlineStr">
        <is>
          <t>flow</t>
        </is>
      </c>
      <c r="F104">
        <f>IF(Pension!F23="","",Pension!F23)</f>
        <v/>
      </c>
    </row>
    <row r="105">
      <c r="A105" t="inlineStr">
        <is>
          <t>allocation</t>
        </is>
      </c>
      <c r="B105" t="inlineStr">
        <is>
          <t>pension</t>
        </is>
      </c>
      <c r="C105" t="inlineStr">
        <is>
          <t>RAIH</t>
        </is>
      </c>
      <c r="D105" t="inlineStr">
        <is>
          <t>market_value</t>
        </is>
      </c>
      <c r="F105">
        <f>IF(Pension!C24="","",Pension!C24)</f>
        <v/>
      </c>
    </row>
    <row r="106">
      <c r="A106" t="inlineStr">
        <is>
          <t>allocation</t>
        </is>
      </c>
      <c r="B106" t="inlineStr">
        <is>
          <t>pension</t>
        </is>
      </c>
      <c r="C106" t="inlineStr">
        <is>
          <t>RAIH</t>
        </is>
      </c>
      <c r="D106" t="inlineStr">
        <is>
          <t>weight</t>
        </is>
      </c>
      <c r="F106">
        <f>IF(Pension!D24="","",Pension!D24)</f>
        <v/>
      </c>
    </row>
    <row r="107">
      <c r="A107" t="inlineStr">
        <is>
          <t>allocation</t>
        </is>
      </c>
      <c r="B107" t="inlineStr">
        <is>
          <t>pension</t>
        </is>
      </c>
      <c r="C107" t="inlineStr">
        <is>
          <t>RAIH</t>
        </is>
      </c>
      <c r="D107" t="inlineStr">
        <is>
          <t>target</t>
        </is>
      </c>
      <c r="F107">
        <f>IF(Pension!E24="","",Pension!E24)</f>
        <v/>
      </c>
    </row>
    <row r="108">
      <c r="A108" t="inlineStr">
        <is>
          <t>allocation</t>
        </is>
      </c>
      <c r="B108" t="inlineStr">
        <is>
          <t>pension</t>
        </is>
      </c>
      <c r="C108" t="inlineStr">
        <is>
          <t>RAIH</t>
        </is>
      </c>
      <c r="D108" t="inlineStr">
        <is>
          <t>flow</t>
        </is>
      </c>
      <c r="F108">
        <f>IF(Pension!F24="","",Pension!F24)</f>
        <v/>
      </c>
    </row>
    <row r="109">
      <c r="A109" t="inlineStr">
        <is>
          <t>allocation</t>
        </is>
      </c>
      <c r="B109" t="inlineStr">
        <is>
          <t>pension</t>
        </is>
      </c>
      <c r="C109" t="inlineStr">
        <is>
          <t>RRM</t>
        </is>
      </c>
      <c r="D109" t="inlineStr">
        <is>
          <t>market_value</t>
        </is>
      </c>
      <c r="F109">
        <f>IF(Pension!C25="","",Pension!C25)</f>
        <v/>
      </c>
    </row>
    <row r="110">
      <c r="A110" t="inlineStr">
        <is>
          <t>allocation</t>
        </is>
      </c>
      <c r="B110" t="inlineStr">
        <is>
          <t>pension</t>
        </is>
      </c>
      <c r="C110" t="inlineStr">
        <is>
          <t>RRM</t>
        </is>
      </c>
      <c r="D110" t="inlineStr">
        <is>
          <t>weight</t>
        </is>
      </c>
      <c r="F110">
        <f>IF(Pension!D25="","",Pension!D25)</f>
        <v/>
      </c>
    </row>
    <row r="111">
      <c r="A111" t="inlineStr">
        <is>
          <t>allocation</t>
        </is>
      </c>
      <c r="B111" t="inlineStr">
        <is>
          <t>pension</t>
        </is>
      </c>
      <c r="C111" t="inlineStr">
        <is>
          <t>RRM</t>
        </is>
      </c>
      <c r="D111" t="inlineStr">
        <is>
          <t>target</t>
        </is>
      </c>
      <c r="F111">
        <f>IF(Pension!E25="","",Pension!E25)</f>
        <v/>
      </c>
    </row>
    <row r="112">
      <c r="A112" t="inlineStr">
        <is>
          <t>allocation</t>
        </is>
      </c>
      <c r="B112" t="inlineStr">
        <is>
          <t>pension</t>
        </is>
      </c>
      <c r="C112" t="inlineStr">
        <is>
          <t>RRM</t>
        </is>
      </c>
      <c r="D112" t="inlineStr">
        <is>
          <t>flow</t>
        </is>
      </c>
      <c r="F112">
        <f>IF(Pension!F25="","",Pension!F25)</f>
        <v/>
      </c>
    </row>
    <row r="113">
      <c r="A113" t="inlineStr">
        <is>
          <t>allocation</t>
        </is>
      </c>
      <c r="B113" t="inlineStr">
        <is>
          <t>pension</t>
        </is>
      </c>
      <c r="C113" t="inlineStr">
        <is>
          <t>OTHER</t>
        </is>
      </c>
      <c r="D113" t="inlineStr">
        <is>
          <t>label</t>
        </is>
      </c>
      <c r="G113">
        <f>IF(Pension!B26="","",Pension!B26)</f>
        <v/>
      </c>
    </row>
    <row r="114">
      <c r="A114" t="inlineStr">
        <is>
          <t>allocation</t>
        </is>
      </c>
      <c r="B114" t="inlineStr">
        <is>
          <t>pension</t>
        </is>
      </c>
      <c r="C114" t="inlineStr">
        <is>
          <t>OTHER</t>
        </is>
      </c>
      <c r="D114" t="inlineStr">
        <is>
          <t>market_value</t>
        </is>
      </c>
      <c r="F114">
        <f>IF(Pension!C26="","",Pension!C26)</f>
        <v/>
      </c>
    </row>
    <row r="115">
      <c r="A115" t="inlineStr">
        <is>
          <t>allocation</t>
        </is>
      </c>
      <c r="B115" t="inlineStr">
        <is>
          <t>pension</t>
        </is>
      </c>
      <c r="C115" t="inlineStr">
        <is>
          <t>OTHER</t>
        </is>
      </c>
      <c r="D115" t="inlineStr">
        <is>
          <t>weight</t>
        </is>
      </c>
      <c r="F115">
        <f>IF(Pension!D26="","",Pension!D26)</f>
        <v/>
      </c>
    </row>
    <row r="116">
      <c r="A116" t="inlineStr">
        <is>
          <t>allocation</t>
        </is>
      </c>
      <c r="B116" t="inlineStr">
        <is>
          <t>pension</t>
        </is>
      </c>
      <c r="C116" t="inlineStr">
        <is>
          <t>OTHER</t>
        </is>
      </c>
      <c r="D116" t="inlineStr">
        <is>
          <t>flow</t>
        </is>
      </c>
      <c r="F116">
        <f>IF(Pension!F26="","",Pension!F26)</f>
        <v/>
      </c>
    </row>
    <row r="117">
      <c r="A117" t="inlineStr">
        <is>
          <t>overlay</t>
        </is>
      </c>
      <c r="B117" t="inlineStr">
        <is>
          <t>pension</t>
        </is>
      </c>
      <c r="C117">
        <f>IF(Pension!B30="","",Pension!B30)</f>
        <v/>
      </c>
      <c r="D117" t="inlineStr">
        <is>
          <t>month_gain</t>
        </is>
      </c>
      <c r="F117">
        <f>IF(OR(Pension!B30="",Pension!C30=""),"",Pension!C30)</f>
        <v/>
      </c>
    </row>
    <row r="118">
      <c r="A118" t="inlineStr">
        <is>
          <t>overlay</t>
        </is>
      </c>
      <c r="B118" t="inlineStr">
        <is>
          <t>pension</t>
        </is>
      </c>
      <c r="C118">
        <f>IF(Pension!B30="","",Pension!B30)</f>
        <v/>
      </c>
      <c r="D118" t="inlineStr">
        <is>
          <t>since_inception</t>
        </is>
      </c>
      <c r="F118">
        <f>IF(OR(Pension!B30="",Pension!D30=""),"",Pension!D30)</f>
        <v/>
      </c>
    </row>
    <row r="119">
      <c r="A119" t="inlineStr">
        <is>
          <t>overlay</t>
        </is>
      </c>
      <c r="B119" t="inlineStr">
        <is>
          <t>pension</t>
        </is>
      </c>
      <c r="C119">
        <f>IF(Pension!B31="","",Pension!B31)</f>
        <v/>
      </c>
      <c r="D119" t="inlineStr">
        <is>
          <t>month_gain</t>
        </is>
      </c>
      <c r="F119">
        <f>IF(OR(Pension!B31="",Pension!C31=""),"",Pension!C31)</f>
        <v/>
      </c>
    </row>
    <row r="120">
      <c r="A120" t="inlineStr">
        <is>
          <t>overlay</t>
        </is>
      </c>
      <c r="B120" t="inlineStr">
        <is>
          <t>pension</t>
        </is>
      </c>
      <c r="C120">
        <f>IF(Pension!B31="","",Pension!B31)</f>
        <v/>
      </c>
      <c r="D120" t="inlineStr">
        <is>
          <t>since_inception</t>
        </is>
      </c>
      <c r="F120">
        <f>IF(OR(Pension!B31="",Pension!D31=""),"",Pension!D31)</f>
        <v/>
      </c>
    </row>
    <row r="121">
      <c r="A121" t="inlineStr">
        <is>
          <t>overlay</t>
        </is>
      </c>
      <c r="B121" t="inlineStr">
        <is>
          <t>pension</t>
        </is>
      </c>
      <c r="C121">
        <f>IF(Pension!B32="","",Pension!B32)</f>
        <v/>
      </c>
      <c r="D121" t="inlineStr">
        <is>
          <t>month_gain</t>
        </is>
      </c>
      <c r="F121">
        <f>IF(OR(Pension!B32="",Pension!C32=""),"",Pension!C32)</f>
        <v/>
      </c>
    </row>
    <row r="122">
      <c r="A122" t="inlineStr">
        <is>
          <t>overlay</t>
        </is>
      </c>
      <c r="B122" t="inlineStr">
        <is>
          <t>pension</t>
        </is>
      </c>
      <c r="C122">
        <f>IF(Pension!B32="","",Pension!B32)</f>
        <v/>
      </c>
      <c r="D122" t="inlineStr">
        <is>
          <t>since_inception</t>
        </is>
      </c>
      <c r="F122">
        <f>IF(OR(Pension!B32="",Pension!D32=""),"",Pension!D32)</f>
        <v/>
      </c>
    </row>
    <row r="123">
      <c r="A123" t="inlineStr">
        <is>
          <t>overlay</t>
        </is>
      </c>
      <c r="B123" t="inlineStr">
        <is>
          <t>pension</t>
        </is>
      </c>
      <c r="C123">
        <f>IF(Pension!B33="","",Pension!B33)</f>
        <v/>
      </c>
      <c r="D123" t="inlineStr">
        <is>
          <t>month_gain</t>
        </is>
      </c>
      <c r="F123">
        <f>IF(OR(Pension!B33="",Pension!C33=""),"",Pension!C33)</f>
        <v/>
      </c>
    </row>
    <row r="124">
      <c r="A124" t="inlineStr">
        <is>
          <t>overlay</t>
        </is>
      </c>
      <c r="B124" t="inlineStr">
        <is>
          <t>pension</t>
        </is>
      </c>
      <c r="C124">
        <f>IF(Pension!B33="","",Pension!B33)</f>
        <v/>
      </c>
      <c r="D124" t="inlineStr">
        <is>
          <t>since_inception</t>
        </is>
      </c>
      <c r="F124">
        <f>IF(OR(Pension!B33="",Pension!D33=""),"",Pension!D33)</f>
        <v/>
      </c>
    </row>
    <row r="125">
      <c r="A125" t="inlineStr">
        <is>
          <t>histogram</t>
        </is>
      </c>
      <c r="B125" t="inlineStr">
        <is>
          <t>pension</t>
        </is>
      </c>
      <c r="C125" t="inlineStr">
        <is>
          <t>BIN_00</t>
        </is>
      </c>
      <c r="D125" t="inlineStr">
        <is>
          <t>count</t>
        </is>
      </c>
      <c r="F125">
        <f>IF(Pension!C36="","",Pension!C36)</f>
        <v/>
      </c>
    </row>
    <row r="126">
      <c r="A126" t="inlineStr">
        <is>
          <t>histogram</t>
        </is>
      </c>
      <c r="B126" t="inlineStr">
        <is>
          <t>pension</t>
        </is>
      </c>
      <c r="C126" t="inlineStr">
        <is>
          <t>BIN_01</t>
        </is>
      </c>
      <c r="D126" t="inlineStr">
        <is>
          <t>count</t>
        </is>
      </c>
      <c r="F126">
        <f>IF(Pension!C37="","",Pension!C37)</f>
        <v/>
      </c>
    </row>
    <row r="127">
      <c r="A127" t="inlineStr">
        <is>
          <t>histogram</t>
        </is>
      </c>
      <c r="B127" t="inlineStr">
        <is>
          <t>pension</t>
        </is>
      </c>
      <c r="C127" t="inlineStr">
        <is>
          <t>BIN_02</t>
        </is>
      </c>
      <c r="D127" t="inlineStr">
        <is>
          <t>count</t>
        </is>
      </c>
      <c r="F127">
        <f>IF(Pension!C38="","",Pension!C38)</f>
        <v/>
      </c>
    </row>
    <row r="128">
      <c r="A128" t="inlineStr">
        <is>
          <t>histogram</t>
        </is>
      </c>
      <c r="B128" t="inlineStr">
        <is>
          <t>pension</t>
        </is>
      </c>
      <c r="C128" t="inlineStr">
        <is>
          <t>BIN_03</t>
        </is>
      </c>
      <c r="D128" t="inlineStr">
        <is>
          <t>count</t>
        </is>
      </c>
      <c r="F128">
        <f>IF(Pension!C39="","",Pension!C39)</f>
        <v/>
      </c>
    </row>
    <row r="129">
      <c r="A129" t="inlineStr">
        <is>
          <t>histogram</t>
        </is>
      </c>
      <c r="B129" t="inlineStr">
        <is>
          <t>pension</t>
        </is>
      </c>
      <c r="C129" t="inlineStr">
        <is>
          <t>BIN_04</t>
        </is>
      </c>
      <c r="D129" t="inlineStr">
        <is>
          <t>count</t>
        </is>
      </c>
      <c r="F129">
        <f>IF(Pension!C40="","",Pension!C40)</f>
        <v/>
      </c>
    </row>
    <row r="130">
      <c r="A130" t="inlineStr">
        <is>
          <t>histogram</t>
        </is>
      </c>
      <c r="B130" t="inlineStr">
        <is>
          <t>pension</t>
        </is>
      </c>
      <c r="C130" t="inlineStr">
        <is>
          <t>BIN_05</t>
        </is>
      </c>
      <c r="D130" t="inlineStr">
        <is>
          <t>count</t>
        </is>
      </c>
      <c r="F130">
        <f>IF(Pension!C41="","",Pension!C41)</f>
        <v/>
      </c>
    </row>
    <row r="131">
      <c r="A131" t="inlineStr">
        <is>
          <t>histogram</t>
        </is>
      </c>
      <c r="B131" t="inlineStr">
        <is>
          <t>pension</t>
        </is>
      </c>
      <c r="C131" t="inlineStr">
        <is>
          <t>BIN_06</t>
        </is>
      </c>
      <c r="D131" t="inlineStr">
        <is>
          <t>count</t>
        </is>
      </c>
      <c r="F131">
        <f>IF(Pension!C42="","",Pension!C42)</f>
        <v/>
      </c>
    </row>
    <row r="132">
      <c r="A132" t="inlineStr">
        <is>
          <t>histogram</t>
        </is>
      </c>
      <c r="B132" t="inlineStr">
        <is>
          <t>pension</t>
        </is>
      </c>
      <c r="C132" t="inlineStr">
        <is>
          <t>BIN_07</t>
        </is>
      </c>
      <c r="D132" t="inlineStr">
        <is>
          <t>count</t>
        </is>
      </c>
      <c r="F132">
        <f>IF(Pension!C43="","",Pension!C43)</f>
        <v/>
      </c>
    </row>
    <row r="133">
      <c r="A133" t="inlineStr">
        <is>
          <t>histogram</t>
        </is>
      </c>
      <c r="B133" t="inlineStr">
        <is>
          <t>pension</t>
        </is>
      </c>
      <c r="C133" t="inlineStr">
        <is>
          <t>BIN_08</t>
        </is>
      </c>
      <c r="D133" t="inlineStr">
        <is>
          <t>count</t>
        </is>
      </c>
      <c r="F133">
        <f>IF(Pension!C44="","",Pension!C44)</f>
        <v/>
      </c>
    </row>
    <row r="134">
      <c r="A134" t="inlineStr">
        <is>
          <t>histogram</t>
        </is>
      </c>
      <c r="B134" t="inlineStr">
        <is>
          <t>pension</t>
        </is>
      </c>
      <c r="C134" t="inlineStr">
        <is>
          <t>BIN_09</t>
        </is>
      </c>
      <c r="D134" t="inlineStr">
        <is>
          <t>count</t>
        </is>
      </c>
      <c r="F134">
        <f>IF(Pension!C45="","",Pension!C45)</f>
        <v/>
      </c>
    </row>
    <row r="135">
      <c r="A135" t="inlineStr">
        <is>
          <t>histogram</t>
        </is>
      </c>
      <c r="B135" t="inlineStr">
        <is>
          <t>pension</t>
        </is>
      </c>
      <c r="C135" t="inlineStr">
        <is>
          <t>BIN_10</t>
        </is>
      </c>
      <c r="D135" t="inlineStr">
        <is>
          <t>count</t>
        </is>
      </c>
      <c r="F135">
        <f>IF(Pension!C46="","",Pension!C46)</f>
        <v/>
      </c>
    </row>
    <row r="136">
      <c r="A136" t="inlineStr">
        <is>
          <t>histogram</t>
        </is>
      </c>
      <c r="B136" t="inlineStr">
        <is>
          <t>pension</t>
        </is>
      </c>
      <c r="C136" t="inlineStr">
        <is>
          <t>BIN_11</t>
        </is>
      </c>
      <c r="D136" t="inlineStr">
        <is>
          <t>count</t>
        </is>
      </c>
      <c r="F136">
        <f>IF(Pension!C47="","",Pension!C47)</f>
        <v/>
      </c>
    </row>
    <row r="137">
      <c r="A137" t="inlineStr">
        <is>
          <t>histogram</t>
        </is>
      </c>
      <c r="B137" t="inlineStr">
        <is>
          <t>pension</t>
        </is>
      </c>
      <c r="C137" t="inlineStr">
        <is>
          <t>BIN_12</t>
        </is>
      </c>
      <c r="D137" t="inlineStr">
        <is>
          <t>count</t>
        </is>
      </c>
      <c r="F137">
        <f>IF(Pension!C48="","",Pension!C48)</f>
        <v/>
      </c>
    </row>
    <row r="138">
      <c r="A138" t="inlineStr">
        <is>
          <t>histogram</t>
        </is>
      </c>
      <c r="B138" t="inlineStr">
        <is>
          <t>pension</t>
        </is>
      </c>
      <c r="C138" t="inlineStr">
        <is>
          <t>BIN_13</t>
        </is>
      </c>
      <c r="D138" t="inlineStr">
        <is>
          <t>count</t>
        </is>
      </c>
      <c r="F138">
        <f>IF(Pension!C49="","",Pension!C49)</f>
        <v/>
      </c>
    </row>
    <row r="139">
      <c r="A139" t="inlineStr">
        <is>
          <t>histogram</t>
        </is>
      </c>
      <c r="B139" t="inlineStr">
        <is>
          <t>pension</t>
        </is>
      </c>
      <c r="C139" t="inlineStr">
        <is>
          <t>STAT</t>
        </is>
      </c>
      <c r="D139" t="inlineStr">
        <is>
          <t>mean</t>
        </is>
      </c>
      <c r="F139">
        <f>IF(Pension!C51="","",Pension!C51)</f>
        <v/>
      </c>
    </row>
    <row r="140">
      <c r="A140" t="inlineStr">
        <is>
          <t>histogram</t>
        </is>
      </c>
      <c r="B140" t="inlineStr">
        <is>
          <t>pension</t>
        </is>
      </c>
      <c r="C140" t="inlineStr">
        <is>
          <t>STAT</t>
        </is>
      </c>
      <c r="D140" t="inlineStr">
        <is>
          <t>saa</t>
        </is>
      </c>
      <c r="F140">
        <f>IF(Pension!C52="","",Pension!C52)</f>
        <v/>
      </c>
    </row>
    <row r="141">
      <c r="A141" t="inlineStr">
        <is>
          <t>histogram</t>
        </is>
      </c>
      <c r="B141" t="inlineStr">
        <is>
          <t>pension</t>
        </is>
      </c>
      <c r="C141" t="inlineStr">
        <is>
          <t>STAT</t>
        </is>
      </c>
      <c r="D141" t="inlineStr">
        <is>
          <t>sd</t>
        </is>
      </c>
      <c r="F141">
        <f>IF(Pension!C53="","",Pension!C53)</f>
        <v/>
      </c>
    </row>
    <row r="142">
      <c r="A142" t="inlineStr">
        <is>
          <t>histogram</t>
        </is>
      </c>
      <c r="B142" t="inlineStr">
        <is>
          <t>pension</t>
        </is>
      </c>
      <c r="C142" t="inlineStr">
        <is>
          <t>STAT</t>
        </is>
      </c>
      <c r="D142" t="inlineStr">
        <is>
          <t>min</t>
        </is>
      </c>
      <c r="F142">
        <f>IF(Pension!C54="","",Pension!C54)</f>
        <v/>
      </c>
    </row>
    <row r="143">
      <c r="A143" t="inlineStr">
        <is>
          <t>histogram</t>
        </is>
      </c>
      <c r="B143" t="inlineStr">
        <is>
          <t>pension</t>
        </is>
      </c>
      <c r="C143" t="inlineStr">
        <is>
          <t>STAT</t>
        </is>
      </c>
      <c r="D143" t="inlineStr">
        <is>
          <t>max</t>
        </is>
      </c>
      <c r="F143">
        <f>IF(Pension!C55="","",Pension!C55)</f>
        <v/>
      </c>
    </row>
    <row r="144">
      <c r="A144" t="inlineStr">
        <is>
          <t>histogram</t>
        </is>
      </c>
      <c r="B144" t="inlineStr">
        <is>
          <t>pension</t>
        </is>
      </c>
      <c r="C144" t="inlineStr">
        <is>
          <t>STAT</t>
        </is>
      </c>
      <c r="D144" t="inlineStr">
        <is>
          <t>latest</t>
        </is>
      </c>
      <c r="F144">
        <f>IF(Pension!C56="","",Pension!C56)</f>
        <v/>
      </c>
    </row>
    <row r="145">
      <c r="A145" t="inlineStr">
        <is>
          <t>geography</t>
        </is>
      </c>
      <c r="B145" t="inlineStr">
        <is>
          <t>pension</t>
        </is>
      </c>
      <c r="C145" t="inlineStr">
        <is>
          <t>DM</t>
        </is>
      </c>
      <c r="D145" t="inlineStr">
        <is>
          <t>share</t>
        </is>
      </c>
      <c r="F145">
        <f>IF(Pension!C59="","",Pension!C59)</f>
        <v/>
      </c>
    </row>
    <row r="146">
      <c r="A146" t="inlineStr">
        <is>
          <t>geography</t>
        </is>
      </c>
      <c r="B146" t="inlineStr">
        <is>
          <t>pension</t>
        </is>
      </c>
      <c r="C146" t="inlineStr">
        <is>
          <t>DM</t>
        </is>
      </c>
      <c r="D146" t="inlineStr">
        <is>
          <t>markets</t>
        </is>
      </c>
      <c r="F146">
        <f>IF(Pension!D59="","",Pension!D59)</f>
        <v/>
      </c>
    </row>
    <row r="147">
      <c r="A147" t="inlineStr">
        <is>
          <t>geography</t>
        </is>
      </c>
      <c r="B147" t="inlineStr">
        <is>
          <t>pension</t>
        </is>
      </c>
      <c r="C147" t="inlineStr">
        <is>
          <t>EM</t>
        </is>
      </c>
      <c r="D147" t="inlineStr">
        <is>
          <t>share</t>
        </is>
      </c>
      <c r="F147">
        <f>IF(Pension!C60="","",Pension!C60)</f>
        <v/>
      </c>
    </row>
    <row r="148">
      <c r="A148" t="inlineStr">
        <is>
          <t>geography</t>
        </is>
      </c>
      <c r="B148" t="inlineStr">
        <is>
          <t>pension</t>
        </is>
      </c>
      <c r="C148" t="inlineStr">
        <is>
          <t>EM</t>
        </is>
      </c>
      <c r="D148" t="inlineStr">
        <is>
          <t>markets</t>
        </is>
      </c>
      <c r="F148">
        <f>IF(Pension!D60="","",Pension!D60)</f>
        <v/>
      </c>
    </row>
    <row r="149">
      <c r="A149" t="inlineStr">
        <is>
          <t>geography</t>
        </is>
      </c>
      <c r="B149" t="inlineStr">
        <is>
          <t>pension</t>
        </is>
      </c>
      <c r="C149" t="inlineStr">
        <is>
          <t>TOTAL</t>
        </is>
      </c>
      <c r="D149" t="inlineStr">
        <is>
          <t>markets</t>
        </is>
      </c>
      <c r="F149">
        <f>IF(Pension!D61="","",Pension!D61)</f>
        <v/>
      </c>
    </row>
    <row r="150">
      <c r="A150" t="inlineStr">
        <is>
          <t>country</t>
        </is>
      </c>
      <c r="B150" t="inlineStr">
        <is>
          <t>pension</t>
        </is>
      </c>
      <c r="C150">
        <f>IF(Pension!B63="","",Pension!B63)</f>
        <v/>
      </c>
      <c r="D150" t="inlineStr">
        <is>
          <t>share</t>
        </is>
      </c>
      <c r="F150">
        <f>IF(OR(Pension!B63="",Pension!C63=""),"",Pension!C63)</f>
        <v/>
      </c>
      <c r="G150">
        <f>IF(Pension!B63="","","dm")</f>
        <v/>
      </c>
    </row>
    <row r="151">
      <c r="A151" t="inlineStr">
        <is>
          <t>country</t>
        </is>
      </c>
      <c r="B151" t="inlineStr">
        <is>
          <t>pension</t>
        </is>
      </c>
      <c r="C151">
        <f>IF(Pension!B64="","",Pension!B64)</f>
        <v/>
      </c>
      <c r="D151" t="inlineStr">
        <is>
          <t>share</t>
        </is>
      </c>
      <c r="F151">
        <f>IF(OR(Pension!B64="",Pension!C64=""),"",Pension!C64)</f>
        <v/>
      </c>
      <c r="G151">
        <f>IF(Pension!B64="","","dm")</f>
        <v/>
      </c>
    </row>
    <row r="152">
      <c r="A152" t="inlineStr">
        <is>
          <t>country</t>
        </is>
      </c>
      <c r="B152" t="inlineStr">
        <is>
          <t>pension</t>
        </is>
      </c>
      <c r="C152">
        <f>IF(Pension!B65="","",Pension!B65)</f>
        <v/>
      </c>
      <c r="D152" t="inlineStr">
        <is>
          <t>share</t>
        </is>
      </c>
      <c r="F152">
        <f>IF(OR(Pension!B65="",Pension!C65=""),"",Pension!C65)</f>
        <v/>
      </c>
      <c r="G152">
        <f>IF(Pension!B65="","","dm")</f>
        <v/>
      </c>
    </row>
    <row r="153">
      <c r="A153" t="inlineStr">
        <is>
          <t>country</t>
        </is>
      </c>
      <c r="B153" t="inlineStr">
        <is>
          <t>pension</t>
        </is>
      </c>
      <c r="C153">
        <f>IF(Pension!B66="","",Pension!B66)</f>
        <v/>
      </c>
      <c r="D153" t="inlineStr">
        <is>
          <t>share</t>
        </is>
      </c>
      <c r="F153">
        <f>IF(OR(Pension!B66="",Pension!C66=""),"",Pension!C66)</f>
        <v/>
      </c>
      <c r="G153">
        <f>IF(Pension!B66="","","dm")</f>
        <v/>
      </c>
    </row>
    <row r="154">
      <c r="A154" t="inlineStr">
        <is>
          <t>country</t>
        </is>
      </c>
      <c r="B154" t="inlineStr">
        <is>
          <t>pension</t>
        </is>
      </c>
      <c r="C154">
        <f>IF(Pension!B67="","",Pension!B67)</f>
        <v/>
      </c>
      <c r="D154" t="inlineStr">
        <is>
          <t>share</t>
        </is>
      </c>
      <c r="F154">
        <f>IF(OR(Pension!B67="",Pension!C67=""),"",Pension!C67)</f>
        <v/>
      </c>
      <c r="G154">
        <f>IF(Pension!B67="","","dm")</f>
        <v/>
      </c>
    </row>
    <row r="155">
      <c r="A155" t="inlineStr">
        <is>
          <t>country</t>
        </is>
      </c>
      <c r="B155" t="inlineStr">
        <is>
          <t>pension</t>
        </is>
      </c>
      <c r="C155">
        <f>IF(Pension!B69="","",Pension!B69)</f>
        <v/>
      </c>
      <c r="D155" t="inlineStr">
        <is>
          <t>share</t>
        </is>
      </c>
      <c r="F155">
        <f>IF(OR(Pension!B69="",Pension!C69=""),"",Pension!C69)</f>
        <v/>
      </c>
      <c r="G155">
        <f>IF(Pension!B69="","","em")</f>
        <v/>
      </c>
    </row>
    <row r="156">
      <c r="A156" t="inlineStr">
        <is>
          <t>country</t>
        </is>
      </c>
      <c r="B156" t="inlineStr">
        <is>
          <t>pension</t>
        </is>
      </c>
      <c r="C156">
        <f>IF(Pension!B70="","",Pension!B70)</f>
        <v/>
      </c>
      <c r="D156" t="inlineStr">
        <is>
          <t>share</t>
        </is>
      </c>
      <c r="F156">
        <f>IF(OR(Pension!B70="",Pension!C70=""),"",Pension!C70)</f>
        <v/>
      </c>
      <c r="G156">
        <f>IF(Pension!B70="","","em")</f>
        <v/>
      </c>
    </row>
    <row r="157">
      <c r="A157" t="inlineStr">
        <is>
          <t>country</t>
        </is>
      </c>
      <c r="B157" t="inlineStr">
        <is>
          <t>pension</t>
        </is>
      </c>
      <c r="C157">
        <f>IF(Pension!B71="","",Pension!B71)</f>
        <v/>
      </c>
      <c r="D157" t="inlineStr">
        <is>
          <t>share</t>
        </is>
      </c>
      <c r="F157">
        <f>IF(OR(Pension!B71="",Pension!C71=""),"",Pension!C71)</f>
        <v/>
      </c>
      <c r="G157">
        <f>IF(Pension!B71="","","em")</f>
        <v/>
      </c>
    </row>
    <row r="158">
      <c r="A158" t="inlineStr">
        <is>
          <t>country</t>
        </is>
      </c>
      <c r="B158" t="inlineStr">
        <is>
          <t>pension</t>
        </is>
      </c>
      <c r="C158">
        <f>IF(Pension!B72="","",Pension!B72)</f>
        <v/>
      </c>
      <c r="D158" t="inlineStr">
        <is>
          <t>share</t>
        </is>
      </c>
      <c r="F158">
        <f>IF(OR(Pension!B72="",Pension!C72=""),"",Pension!C72)</f>
        <v/>
      </c>
      <c r="G158">
        <f>IF(Pension!B72="","","em")</f>
        <v/>
      </c>
    </row>
    <row r="159">
      <c r="A159" t="inlineStr">
        <is>
          <t>country</t>
        </is>
      </c>
      <c r="B159" t="inlineStr">
        <is>
          <t>pension</t>
        </is>
      </c>
      <c r="C159">
        <f>IF(Pension!B73="","",Pension!B73)</f>
        <v/>
      </c>
      <c r="D159" t="inlineStr">
        <is>
          <t>share</t>
        </is>
      </c>
      <c r="F159">
        <f>IF(OR(Pension!B73="",Pension!C73=""),"",Pension!C73)</f>
        <v/>
      </c>
      <c r="G159">
        <f>IF(Pension!B73="","","em")</f>
        <v/>
      </c>
    </row>
    <row r="160">
      <c r="A160" t="inlineStr">
        <is>
          <t>fund</t>
        </is>
      </c>
      <c r="B160" t="inlineStr">
        <is>
          <t>opeb</t>
        </is>
      </c>
      <c r="C160" t="inlineStr">
        <is>
          <t>TOTAL</t>
        </is>
      </c>
      <c r="D160" t="inlineStr">
        <is>
          <t>market_value</t>
        </is>
      </c>
      <c r="F160">
        <f>IF(OPEB!C4="","",OPEB!C4)</f>
        <v/>
      </c>
    </row>
    <row r="161">
      <c r="A161" t="inlineStr">
        <is>
          <t>fund</t>
        </is>
      </c>
      <c r="B161" t="inlineStr">
        <is>
          <t>opeb</t>
        </is>
      </c>
      <c r="C161" t="inlineStr">
        <is>
          <t>TOTAL</t>
        </is>
      </c>
      <c r="D161" t="inlineStr">
        <is>
          <t>cash</t>
        </is>
      </c>
      <c r="F161">
        <f>IF(OPEB!C5="","",OPEB!C5)</f>
        <v/>
      </c>
    </row>
    <row r="162">
      <c r="A162" t="inlineStr">
        <is>
          <t>fund</t>
        </is>
      </c>
      <c r="B162" t="inlineStr">
        <is>
          <t>opeb</t>
        </is>
      </c>
      <c r="C162" t="inlineStr">
        <is>
          <t>TOTAL</t>
        </is>
      </c>
      <c r="D162" t="inlineStr">
        <is>
          <t>growth_of_dollar</t>
        </is>
      </c>
      <c r="F162">
        <f>IF(OPEB!C6="","",OPEB!C6)</f>
        <v/>
      </c>
    </row>
    <row r="163">
      <c r="A163" t="inlineStr">
        <is>
          <t>performance</t>
        </is>
      </c>
      <c r="B163" t="inlineStr">
        <is>
          <t>opeb</t>
        </is>
      </c>
      <c r="C163" t="inlineStr">
        <is>
          <t>TOTAL</t>
        </is>
      </c>
      <c r="D163" t="inlineStr">
        <is>
          <t>return</t>
        </is>
      </c>
      <c r="E163" t="inlineStr">
        <is>
          <t>1M</t>
        </is>
      </c>
      <c r="F163">
        <f>IF(OPEB!C9="","",OPEB!C9)</f>
        <v/>
      </c>
    </row>
    <row r="164">
      <c r="A164" t="inlineStr">
        <is>
          <t>performance</t>
        </is>
      </c>
      <c r="B164" t="inlineStr">
        <is>
          <t>opeb</t>
        </is>
      </c>
      <c r="C164" t="inlineStr">
        <is>
          <t>TOTAL</t>
        </is>
      </c>
      <c r="D164" t="inlineStr">
        <is>
          <t>return</t>
        </is>
      </c>
      <c r="E164" t="inlineStr">
        <is>
          <t>3M</t>
        </is>
      </c>
      <c r="F164">
        <f>IF(OPEB!D9="","",OPEB!D9)</f>
        <v/>
      </c>
    </row>
    <row r="165">
      <c r="A165" t="inlineStr">
        <is>
          <t>performance</t>
        </is>
      </c>
      <c r="B165" t="inlineStr">
        <is>
          <t>opeb</t>
        </is>
      </c>
      <c r="C165" t="inlineStr">
        <is>
          <t>TOTAL</t>
        </is>
      </c>
      <c r="D165" t="inlineStr">
        <is>
          <t>return</t>
        </is>
      </c>
      <c r="E165" t="inlineStr">
        <is>
          <t>FYTD</t>
        </is>
      </c>
      <c r="F165">
        <f>IF(OPEB!E9="","",OPEB!E9)</f>
        <v/>
      </c>
    </row>
    <row r="166">
      <c r="A166" t="inlineStr">
        <is>
          <t>performance</t>
        </is>
      </c>
      <c r="B166" t="inlineStr">
        <is>
          <t>opeb</t>
        </is>
      </c>
      <c r="C166" t="inlineStr">
        <is>
          <t>TOTAL</t>
        </is>
      </c>
      <c r="D166" t="inlineStr">
        <is>
          <t>return</t>
        </is>
      </c>
      <c r="E166" t="inlineStr">
        <is>
          <t>YTD</t>
        </is>
      </c>
      <c r="F166">
        <f>IF(OPEB!F9="","",OPEB!F9)</f>
        <v/>
      </c>
    </row>
    <row r="167">
      <c r="A167" t="inlineStr">
        <is>
          <t>performance</t>
        </is>
      </c>
      <c r="B167" t="inlineStr">
        <is>
          <t>opeb</t>
        </is>
      </c>
      <c r="C167" t="inlineStr">
        <is>
          <t>TOTAL</t>
        </is>
      </c>
      <c r="D167" t="inlineStr">
        <is>
          <t>return</t>
        </is>
      </c>
      <c r="E167" t="inlineStr">
        <is>
          <t>1Y</t>
        </is>
      </c>
      <c r="F167">
        <f>IF(OPEB!G9="","",OPEB!G9)</f>
        <v/>
      </c>
    </row>
    <row r="168">
      <c r="A168" t="inlineStr">
        <is>
          <t>performance</t>
        </is>
      </c>
      <c r="B168" t="inlineStr">
        <is>
          <t>opeb</t>
        </is>
      </c>
      <c r="C168" t="inlineStr">
        <is>
          <t>TOTAL</t>
        </is>
      </c>
      <c r="D168" t="inlineStr">
        <is>
          <t>return</t>
        </is>
      </c>
      <c r="E168" t="inlineStr">
        <is>
          <t>3Y</t>
        </is>
      </c>
      <c r="F168">
        <f>IF(OPEB!H9="","",OPEB!H9)</f>
        <v/>
      </c>
    </row>
    <row r="169">
      <c r="A169" t="inlineStr">
        <is>
          <t>performance</t>
        </is>
      </c>
      <c r="B169" t="inlineStr">
        <is>
          <t>opeb</t>
        </is>
      </c>
      <c r="C169" t="inlineStr">
        <is>
          <t>TOTAL</t>
        </is>
      </c>
      <c r="D169" t="inlineStr">
        <is>
          <t>return</t>
        </is>
      </c>
      <c r="E169" t="inlineStr">
        <is>
          <t>5Y</t>
        </is>
      </c>
      <c r="F169">
        <f>IF(OPEB!I9="","",OPEB!I9)</f>
        <v/>
      </c>
    </row>
    <row r="170">
      <c r="A170" t="inlineStr">
        <is>
          <t>performance</t>
        </is>
      </c>
      <c r="B170" t="inlineStr">
        <is>
          <t>opeb</t>
        </is>
      </c>
      <c r="C170" t="inlineStr">
        <is>
          <t>TOTAL</t>
        </is>
      </c>
      <c r="D170" t="inlineStr">
        <is>
          <t>return</t>
        </is>
      </c>
      <c r="E170" t="inlineStr">
        <is>
          <t>10Y</t>
        </is>
      </c>
      <c r="F170">
        <f>IF(OPEB!J9="","",OPEB!J9)</f>
        <v/>
      </c>
    </row>
    <row r="171">
      <c r="A171" t="inlineStr">
        <is>
          <t>performance</t>
        </is>
      </c>
      <c r="B171" t="inlineStr">
        <is>
          <t>opeb</t>
        </is>
      </c>
      <c r="C171" t="inlineStr">
        <is>
          <t>TOTAL</t>
        </is>
      </c>
      <c r="D171" t="inlineStr">
        <is>
          <t>benchmark</t>
        </is>
      </c>
      <c r="E171" t="inlineStr">
        <is>
          <t>1M</t>
        </is>
      </c>
      <c r="F171">
        <f>IF(OPEB!C10="","",OPEB!C10)</f>
        <v/>
      </c>
    </row>
    <row r="172">
      <c r="A172" t="inlineStr">
        <is>
          <t>performance</t>
        </is>
      </c>
      <c r="B172" t="inlineStr">
        <is>
          <t>opeb</t>
        </is>
      </c>
      <c r="C172" t="inlineStr">
        <is>
          <t>TOTAL</t>
        </is>
      </c>
      <c r="D172" t="inlineStr">
        <is>
          <t>benchmark</t>
        </is>
      </c>
      <c r="E172" t="inlineStr">
        <is>
          <t>3M</t>
        </is>
      </c>
      <c r="F172">
        <f>IF(OPEB!D10="","",OPEB!D10)</f>
        <v/>
      </c>
    </row>
    <row r="173">
      <c r="A173" t="inlineStr">
        <is>
          <t>performance</t>
        </is>
      </c>
      <c r="B173" t="inlineStr">
        <is>
          <t>opeb</t>
        </is>
      </c>
      <c r="C173" t="inlineStr">
        <is>
          <t>TOTAL</t>
        </is>
      </c>
      <c r="D173" t="inlineStr">
        <is>
          <t>benchmark</t>
        </is>
      </c>
      <c r="E173" t="inlineStr">
        <is>
          <t>FYTD</t>
        </is>
      </c>
      <c r="F173">
        <f>IF(OPEB!E10="","",OPEB!E10)</f>
        <v/>
      </c>
    </row>
    <row r="174">
      <c r="A174" t="inlineStr">
        <is>
          <t>performance</t>
        </is>
      </c>
      <c r="B174" t="inlineStr">
        <is>
          <t>opeb</t>
        </is>
      </c>
      <c r="C174" t="inlineStr">
        <is>
          <t>TOTAL</t>
        </is>
      </c>
      <c r="D174" t="inlineStr">
        <is>
          <t>benchmark</t>
        </is>
      </c>
      <c r="E174" t="inlineStr">
        <is>
          <t>YTD</t>
        </is>
      </c>
      <c r="F174">
        <f>IF(OPEB!F10="","",OPEB!F10)</f>
        <v/>
      </c>
    </row>
    <row r="175">
      <c r="A175" t="inlineStr">
        <is>
          <t>performance</t>
        </is>
      </c>
      <c r="B175" t="inlineStr">
        <is>
          <t>opeb</t>
        </is>
      </c>
      <c r="C175" t="inlineStr">
        <is>
          <t>TOTAL</t>
        </is>
      </c>
      <c r="D175" t="inlineStr">
        <is>
          <t>benchmark</t>
        </is>
      </c>
      <c r="E175" t="inlineStr">
        <is>
          <t>1Y</t>
        </is>
      </c>
      <c r="F175">
        <f>IF(OPEB!G10="","",OPEB!G10)</f>
        <v/>
      </c>
    </row>
    <row r="176">
      <c r="A176" t="inlineStr">
        <is>
          <t>performance</t>
        </is>
      </c>
      <c r="B176" t="inlineStr">
        <is>
          <t>opeb</t>
        </is>
      </c>
      <c r="C176" t="inlineStr">
        <is>
          <t>TOTAL</t>
        </is>
      </c>
      <c r="D176" t="inlineStr">
        <is>
          <t>benchmark</t>
        </is>
      </c>
      <c r="E176" t="inlineStr">
        <is>
          <t>3Y</t>
        </is>
      </c>
      <c r="F176">
        <f>IF(OPEB!H10="","",OPEB!H10)</f>
        <v/>
      </c>
    </row>
    <row r="177">
      <c r="A177" t="inlineStr">
        <is>
          <t>performance</t>
        </is>
      </c>
      <c r="B177" t="inlineStr">
        <is>
          <t>opeb</t>
        </is>
      </c>
      <c r="C177" t="inlineStr">
        <is>
          <t>TOTAL</t>
        </is>
      </c>
      <c r="D177" t="inlineStr">
        <is>
          <t>benchmark</t>
        </is>
      </c>
      <c r="E177" t="inlineStr">
        <is>
          <t>5Y</t>
        </is>
      </c>
      <c r="F177">
        <f>IF(OPEB!I10="","",OPEB!I10)</f>
        <v/>
      </c>
    </row>
    <row r="178">
      <c r="A178" t="inlineStr">
        <is>
          <t>performance</t>
        </is>
      </c>
      <c r="B178" t="inlineStr">
        <is>
          <t>opeb</t>
        </is>
      </c>
      <c r="C178" t="inlineStr">
        <is>
          <t>TOTAL</t>
        </is>
      </c>
      <c r="D178" t="inlineStr">
        <is>
          <t>benchmark</t>
        </is>
      </c>
      <c r="E178" t="inlineStr">
        <is>
          <t>10Y</t>
        </is>
      </c>
      <c r="F178">
        <f>IF(OPEB!J10="","",OPEB!J10)</f>
        <v/>
      </c>
    </row>
    <row r="179">
      <c r="A179" t="inlineStr">
        <is>
          <t>performance</t>
        </is>
      </c>
      <c r="B179" t="inlineStr">
        <is>
          <t>opeb</t>
        </is>
      </c>
      <c r="C179" t="inlineStr">
        <is>
          <t>TOTAL</t>
        </is>
      </c>
      <c r="D179" t="inlineStr">
        <is>
          <t>hurdle</t>
        </is>
      </c>
      <c r="E179" t="inlineStr">
        <is>
          <t>1M</t>
        </is>
      </c>
      <c r="F179">
        <f>IF(OPEB!C11="","",OPEB!C11)</f>
        <v/>
      </c>
    </row>
    <row r="180">
      <c r="A180" t="inlineStr">
        <is>
          <t>performance</t>
        </is>
      </c>
      <c r="B180" t="inlineStr">
        <is>
          <t>opeb</t>
        </is>
      </c>
      <c r="C180" t="inlineStr">
        <is>
          <t>TOTAL</t>
        </is>
      </c>
      <c r="D180" t="inlineStr">
        <is>
          <t>hurdle</t>
        </is>
      </c>
      <c r="E180" t="inlineStr">
        <is>
          <t>3M</t>
        </is>
      </c>
      <c r="F180">
        <f>IF(OPEB!D11="","",OPEB!D11)</f>
        <v/>
      </c>
    </row>
    <row r="181">
      <c r="A181" t="inlineStr">
        <is>
          <t>performance</t>
        </is>
      </c>
      <c r="B181" t="inlineStr">
        <is>
          <t>opeb</t>
        </is>
      </c>
      <c r="C181" t="inlineStr">
        <is>
          <t>TOTAL</t>
        </is>
      </c>
      <c r="D181" t="inlineStr">
        <is>
          <t>hurdle</t>
        </is>
      </c>
      <c r="E181" t="inlineStr">
        <is>
          <t>FYTD</t>
        </is>
      </c>
      <c r="F181">
        <f>IF(OPEB!E11="","",OPEB!E11)</f>
        <v/>
      </c>
    </row>
    <row r="182">
      <c r="A182" t="inlineStr">
        <is>
          <t>performance</t>
        </is>
      </c>
      <c r="B182" t="inlineStr">
        <is>
          <t>opeb</t>
        </is>
      </c>
      <c r="C182" t="inlineStr">
        <is>
          <t>TOTAL</t>
        </is>
      </c>
      <c r="D182" t="inlineStr">
        <is>
          <t>hurdle</t>
        </is>
      </c>
      <c r="E182" t="inlineStr">
        <is>
          <t>YTD</t>
        </is>
      </c>
      <c r="F182">
        <f>IF(OPEB!F11="","",OPEB!F11)</f>
        <v/>
      </c>
    </row>
    <row r="183">
      <c r="A183" t="inlineStr">
        <is>
          <t>performance</t>
        </is>
      </c>
      <c r="B183" t="inlineStr">
        <is>
          <t>opeb</t>
        </is>
      </c>
      <c r="C183" t="inlineStr">
        <is>
          <t>TOTAL</t>
        </is>
      </c>
      <c r="D183" t="inlineStr">
        <is>
          <t>hurdle</t>
        </is>
      </c>
      <c r="E183" t="inlineStr">
        <is>
          <t>1Y</t>
        </is>
      </c>
      <c r="F183">
        <f>IF(OPEB!G11="","",OPEB!G11)</f>
        <v/>
      </c>
    </row>
    <row r="184">
      <c r="A184" t="inlineStr">
        <is>
          <t>performance</t>
        </is>
      </c>
      <c r="B184" t="inlineStr">
        <is>
          <t>opeb</t>
        </is>
      </c>
      <c r="C184" t="inlineStr">
        <is>
          <t>TOTAL</t>
        </is>
      </c>
      <c r="D184" t="inlineStr">
        <is>
          <t>hurdle</t>
        </is>
      </c>
      <c r="E184" t="inlineStr">
        <is>
          <t>3Y</t>
        </is>
      </c>
      <c r="F184">
        <f>IF(OPEB!H11="","",OPEB!H11)</f>
        <v/>
      </c>
    </row>
    <row r="185">
      <c r="A185" t="inlineStr">
        <is>
          <t>performance</t>
        </is>
      </c>
      <c r="B185" t="inlineStr">
        <is>
          <t>opeb</t>
        </is>
      </c>
      <c r="C185" t="inlineStr">
        <is>
          <t>TOTAL</t>
        </is>
      </c>
      <c r="D185" t="inlineStr">
        <is>
          <t>hurdle</t>
        </is>
      </c>
      <c r="E185" t="inlineStr">
        <is>
          <t>5Y</t>
        </is>
      </c>
      <c r="F185">
        <f>IF(OPEB!I11="","",OPEB!I11)</f>
        <v/>
      </c>
    </row>
    <row r="186">
      <c r="A186" t="inlineStr">
        <is>
          <t>performance</t>
        </is>
      </c>
      <c r="B186" t="inlineStr">
        <is>
          <t>opeb</t>
        </is>
      </c>
      <c r="C186" t="inlineStr">
        <is>
          <t>TOTAL</t>
        </is>
      </c>
      <c r="D186" t="inlineStr">
        <is>
          <t>hurdle</t>
        </is>
      </c>
      <c r="E186" t="inlineStr">
        <is>
          <t>10Y</t>
        </is>
      </c>
      <c r="F186">
        <f>IF(OPEB!J11="","",OPEB!J11)</f>
        <v/>
      </c>
    </row>
    <row r="187">
      <c r="A187" t="inlineStr">
        <is>
          <t>performance</t>
        </is>
      </c>
      <c r="B187" t="inlineStr">
        <is>
          <t>opeb</t>
        </is>
      </c>
      <c r="C187" t="inlineStr">
        <is>
          <t>GROWTH</t>
        </is>
      </c>
      <c r="D187" t="inlineStr">
        <is>
          <t>return</t>
        </is>
      </c>
      <c r="E187" t="inlineStr">
        <is>
          <t>1M</t>
        </is>
      </c>
      <c r="F187">
        <f>IF(OPEB!C12="","",OPEB!C12)</f>
        <v/>
      </c>
    </row>
    <row r="188">
      <c r="A188" t="inlineStr">
        <is>
          <t>performance</t>
        </is>
      </c>
      <c r="B188" t="inlineStr">
        <is>
          <t>opeb</t>
        </is>
      </c>
      <c r="C188" t="inlineStr">
        <is>
          <t>GROWTH</t>
        </is>
      </c>
      <c r="D188" t="inlineStr">
        <is>
          <t>return</t>
        </is>
      </c>
      <c r="E188" t="inlineStr">
        <is>
          <t>3M</t>
        </is>
      </c>
      <c r="F188">
        <f>IF(OPEB!D12="","",OPEB!D12)</f>
        <v/>
      </c>
    </row>
    <row r="189">
      <c r="A189" t="inlineStr">
        <is>
          <t>performance</t>
        </is>
      </c>
      <c r="B189" t="inlineStr">
        <is>
          <t>opeb</t>
        </is>
      </c>
      <c r="C189" t="inlineStr">
        <is>
          <t>GROWTH</t>
        </is>
      </c>
      <c r="D189" t="inlineStr">
        <is>
          <t>return</t>
        </is>
      </c>
      <c r="E189" t="inlineStr">
        <is>
          <t>FYTD</t>
        </is>
      </c>
      <c r="F189">
        <f>IF(OPEB!E12="","",OPEB!E12)</f>
        <v/>
      </c>
    </row>
    <row r="190">
      <c r="A190" t="inlineStr">
        <is>
          <t>performance</t>
        </is>
      </c>
      <c r="B190" t="inlineStr">
        <is>
          <t>opeb</t>
        </is>
      </c>
      <c r="C190" t="inlineStr">
        <is>
          <t>GROWTH</t>
        </is>
      </c>
      <c r="D190" t="inlineStr">
        <is>
          <t>return</t>
        </is>
      </c>
      <c r="E190" t="inlineStr">
        <is>
          <t>YTD</t>
        </is>
      </c>
      <c r="F190">
        <f>IF(OPEB!F12="","",OPEB!F12)</f>
        <v/>
      </c>
    </row>
    <row r="191">
      <c r="A191" t="inlineStr">
        <is>
          <t>performance</t>
        </is>
      </c>
      <c r="B191" t="inlineStr">
        <is>
          <t>opeb</t>
        </is>
      </c>
      <c r="C191" t="inlineStr">
        <is>
          <t>GROWTH</t>
        </is>
      </c>
      <c r="D191" t="inlineStr">
        <is>
          <t>return</t>
        </is>
      </c>
      <c r="E191" t="inlineStr">
        <is>
          <t>1Y</t>
        </is>
      </c>
      <c r="F191">
        <f>IF(OPEB!G12="","",OPEB!G12)</f>
        <v/>
      </c>
    </row>
    <row r="192">
      <c r="A192" t="inlineStr">
        <is>
          <t>performance</t>
        </is>
      </c>
      <c r="B192" t="inlineStr">
        <is>
          <t>opeb</t>
        </is>
      </c>
      <c r="C192" t="inlineStr">
        <is>
          <t>GROWTH</t>
        </is>
      </c>
      <c r="D192" t="inlineStr">
        <is>
          <t>return</t>
        </is>
      </c>
      <c r="E192" t="inlineStr">
        <is>
          <t>3Y</t>
        </is>
      </c>
      <c r="F192">
        <f>IF(OPEB!H12="","",OPEB!H12)</f>
        <v/>
      </c>
    </row>
    <row r="193">
      <c r="A193" t="inlineStr">
        <is>
          <t>performance</t>
        </is>
      </c>
      <c r="B193" t="inlineStr">
        <is>
          <t>opeb</t>
        </is>
      </c>
      <c r="C193" t="inlineStr">
        <is>
          <t>GROWTH</t>
        </is>
      </c>
      <c r="D193" t="inlineStr">
        <is>
          <t>return</t>
        </is>
      </c>
      <c r="E193" t="inlineStr">
        <is>
          <t>5Y</t>
        </is>
      </c>
      <c r="F193">
        <f>IF(OPEB!I12="","",OPEB!I12)</f>
        <v/>
      </c>
    </row>
    <row r="194">
      <c r="A194" t="inlineStr">
        <is>
          <t>performance</t>
        </is>
      </c>
      <c r="B194" t="inlineStr">
        <is>
          <t>opeb</t>
        </is>
      </c>
      <c r="C194" t="inlineStr">
        <is>
          <t>GROWTH</t>
        </is>
      </c>
      <c r="D194" t="inlineStr">
        <is>
          <t>return</t>
        </is>
      </c>
      <c r="E194" t="inlineStr">
        <is>
          <t>10Y</t>
        </is>
      </c>
      <c r="F194">
        <f>IF(OPEB!J12="","",OPEB!J12)</f>
        <v/>
      </c>
    </row>
    <row r="195">
      <c r="A195" t="inlineStr">
        <is>
          <t>performance</t>
        </is>
      </c>
      <c r="B195" t="inlineStr">
        <is>
          <t>opeb</t>
        </is>
      </c>
      <c r="C195" t="inlineStr">
        <is>
          <t>GROWTH</t>
        </is>
      </c>
      <c r="D195" t="inlineStr">
        <is>
          <t>benchmark</t>
        </is>
      </c>
      <c r="E195" t="inlineStr">
        <is>
          <t>1M</t>
        </is>
      </c>
      <c r="F195">
        <f>IF(OPEB!C13="","",OPEB!C13)</f>
        <v/>
      </c>
    </row>
    <row r="196">
      <c r="A196" t="inlineStr">
        <is>
          <t>performance</t>
        </is>
      </c>
      <c r="B196" t="inlineStr">
        <is>
          <t>opeb</t>
        </is>
      </c>
      <c r="C196" t="inlineStr">
        <is>
          <t>GROWTH</t>
        </is>
      </c>
      <c r="D196" t="inlineStr">
        <is>
          <t>benchmark</t>
        </is>
      </c>
      <c r="E196" t="inlineStr">
        <is>
          <t>3M</t>
        </is>
      </c>
      <c r="F196">
        <f>IF(OPEB!D13="","",OPEB!D13)</f>
        <v/>
      </c>
    </row>
    <row r="197">
      <c r="A197" t="inlineStr">
        <is>
          <t>performance</t>
        </is>
      </c>
      <c r="B197" t="inlineStr">
        <is>
          <t>opeb</t>
        </is>
      </c>
      <c r="C197" t="inlineStr">
        <is>
          <t>GROWTH</t>
        </is>
      </c>
      <c r="D197" t="inlineStr">
        <is>
          <t>benchmark</t>
        </is>
      </c>
      <c r="E197" t="inlineStr">
        <is>
          <t>FYTD</t>
        </is>
      </c>
      <c r="F197">
        <f>IF(OPEB!E13="","",OPEB!E13)</f>
        <v/>
      </c>
    </row>
    <row r="198">
      <c r="A198" t="inlineStr">
        <is>
          <t>performance</t>
        </is>
      </c>
      <c r="B198" t="inlineStr">
        <is>
          <t>opeb</t>
        </is>
      </c>
      <c r="C198" t="inlineStr">
        <is>
          <t>GROWTH</t>
        </is>
      </c>
      <c r="D198" t="inlineStr">
        <is>
          <t>benchmark</t>
        </is>
      </c>
      <c r="E198" t="inlineStr">
        <is>
          <t>YTD</t>
        </is>
      </c>
      <c r="F198">
        <f>IF(OPEB!F13="","",OPEB!F13)</f>
        <v/>
      </c>
    </row>
    <row r="199">
      <c r="A199" t="inlineStr">
        <is>
          <t>performance</t>
        </is>
      </c>
      <c r="B199" t="inlineStr">
        <is>
          <t>opeb</t>
        </is>
      </c>
      <c r="C199" t="inlineStr">
        <is>
          <t>GROWTH</t>
        </is>
      </c>
      <c r="D199" t="inlineStr">
        <is>
          <t>benchmark</t>
        </is>
      </c>
      <c r="E199" t="inlineStr">
        <is>
          <t>1Y</t>
        </is>
      </c>
      <c r="F199">
        <f>IF(OPEB!G13="","",OPEB!G13)</f>
        <v/>
      </c>
    </row>
    <row r="200">
      <c r="A200" t="inlineStr">
        <is>
          <t>performance</t>
        </is>
      </c>
      <c r="B200" t="inlineStr">
        <is>
          <t>opeb</t>
        </is>
      </c>
      <c r="C200" t="inlineStr">
        <is>
          <t>GROWTH</t>
        </is>
      </c>
      <c r="D200" t="inlineStr">
        <is>
          <t>benchmark</t>
        </is>
      </c>
      <c r="E200" t="inlineStr">
        <is>
          <t>3Y</t>
        </is>
      </c>
      <c r="F200">
        <f>IF(OPEB!H13="","",OPEB!H13)</f>
        <v/>
      </c>
    </row>
    <row r="201">
      <c r="A201" t="inlineStr">
        <is>
          <t>performance</t>
        </is>
      </c>
      <c r="B201" t="inlineStr">
        <is>
          <t>opeb</t>
        </is>
      </c>
      <c r="C201" t="inlineStr">
        <is>
          <t>GROWTH</t>
        </is>
      </c>
      <c r="D201" t="inlineStr">
        <is>
          <t>benchmark</t>
        </is>
      </c>
      <c r="E201" t="inlineStr">
        <is>
          <t>5Y</t>
        </is>
      </c>
      <c r="F201">
        <f>IF(OPEB!I13="","",OPEB!I13)</f>
        <v/>
      </c>
    </row>
    <row r="202">
      <c r="A202" t="inlineStr">
        <is>
          <t>performance</t>
        </is>
      </c>
      <c r="B202" t="inlineStr">
        <is>
          <t>opeb</t>
        </is>
      </c>
      <c r="C202" t="inlineStr">
        <is>
          <t>GROWTH</t>
        </is>
      </c>
      <c r="D202" t="inlineStr">
        <is>
          <t>benchmark</t>
        </is>
      </c>
      <c r="E202" t="inlineStr">
        <is>
          <t>10Y</t>
        </is>
      </c>
      <c r="F202">
        <f>IF(OPEB!J13="","",OPEB!J13)</f>
        <v/>
      </c>
    </row>
    <row r="203">
      <c r="A203" t="inlineStr">
        <is>
          <t>performance</t>
        </is>
      </c>
      <c r="B203" t="inlineStr">
        <is>
          <t>opeb</t>
        </is>
      </c>
      <c r="C203" t="inlineStr">
        <is>
          <t>CREDIT</t>
        </is>
      </c>
      <c r="D203" t="inlineStr">
        <is>
          <t>return</t>
        </is>
      </c>
      <c r="E203" t="inlineStr">
        <is>
          <t>1M</t>
        </is>
      </c>
      <c r="F203">
        <f>IF(OPEB!C14="","",OPEB!C14)</f>
        <v/>
      </c>
    </row>
    <row r="204">
      <c r="A204" t="inlineStr">
        <is>
          <t>performance</t>
        </is>
      </c>
      <c r="B204" t="inlineStr">
        <is>
          <t>opeb</t>
        </is>
      </c>
      <c r="C204" t="inlineStr">
        <is>
          <t>CREDIT</t>
        </is>
      </c>
      <c r="D204" t="inlineStr">
        <is>
          <t>return</t>
        </is>
      </c>
      <c r="E204" t="inlineStr">
        <is>
          <t>3M</t>
        </is>
      </c>
      <c r="F204">
        <f>IF(OPEB!D14="","",OPEB!D14)</f>
        <v/>
      </c>
    </row>
    <row r="205">
      <c r="A205" t="inlineStr">
        <is>
          <t>performance</t>
        </is>
      </c>
      <c r="B205" t="inlineStr">
        <is>
          <t>opeb</t>
        </is>
      </c>
      <c r="C205" t="inlineStr">
        <is>
          <t>CREDIT</t>
        </is>
      </c>
      <c r="D205" t="inlineStr">
        <is>
          <t>return</t>
        </is>
      </c>
      <c r="E205" t="inlineStr">
        <is>
          <t>FYTD</t>
        </is>
      </c>
      <c r="F205">
        <f>IF(OPEB!E14="","",OPEB!E14)</f>
        <v/>
      </c>
    </row>
    <row r="206">
      <c r="A206" t="inlineStr">
        <is>
          <t>performance</t>
        </is>
      </c>
      <c r="B206" t="inlineStr">
        <is>
          <t>opeb</t>
        </is>
      </c>
      <c r="C206" t="inlineStr">
        <is>
          <t>CREDIT</t>
        </is>
      </c>
      <c r="D206" t="inlineStr">
        <is>
          <t>return</t>
        </is>
      </c>
      <c r="E206" t="inlineStr">
        <is>
          <t>YTD</t>
        </is>
      </c>
      <c r="F206">
        <f>IF(OPEB!F14="","",OPEB!F14)</f>
        <v/>
      </c>
    </row>
    <row r="207">
      <c r="A207" t="inlineStr">
        <is>
          <t>performance</t>
        </is>
      </c>
      <c r="B207" t="inlineStr">
        <is>
          <t>opeb</t>
        </is>
      </c>
      <c r="C207" t="inlineStr">
        <is>
          <t>CREDIT</t>
        </is>
      </c>
      <c r="D207" t="inlineStr">
        <is>
          <t>return</t>
        </is>
      </c>
      <c r="E207" t="inlineStr">
        <is>
          <t>1Y</t>
        </is>
      </c>
      <c r="F207">
        <f>IF(OPEB!G14="","",OPEB!G14)</f>
        <v/>
      </c>
    </row>
    <row r="208">
      <c r="A208" t="inlineStr">
        <is>
          <t>performance</t>
        </is>
      </c>
      <c r="B208" t="inlineStr">
        <is>
          <t>opeb</t>
        </is>
      </c>
      <c r="C208" t="inlineStr">
        <is>
          <t>CREDIT</t>
        </is>
      </c>
      <c r="D208" t="inlineStr">
        <is>
          <t>return</t>
        </is>
      </c>
      <c r="E208" t="inlineStr">
        <is>
          <t>3Y</t>
        </is>
      </c>
      <c r="F208">
        <f>IF(OPEB!H14="","",OPEB!H14)</f>
        <v/>
      </c>
    </row>
    <row r="209">
      <c r="A209" t="inlineStr">
        <is>
          <t>performance</t>
        </is>
      </c>
      <c r="B209" t="inlineStr">
        <is>
          <t>opeb</t>
        </is>
      </c>
      <c r="C209" t="inlineStr">
        <is>
          <t>CREDIT</t>
        </is>
      </c>
      <c r="D209" t="inlineStr">
        <is>
          <t>return</t>
        </is>
      </c>
      <c r="E209" t="inlineStr">
        <is>
          <t>5Y</t>
        </is>
      </c>
      <c r="F209">
        <f>IF(OPEB!I14="","",OPEB!I14)</f>
        <v/>
      </c>
    </row>
    <row r="210">
      <c r="A210" t="inlineStr">
        <is>
          <t>performance</t>
        </is>
      </c>
      <c r="B210" t="inlineStr">
        <is>
          <t>opeb</t>
        </is>
      </c>
      <c r="C210" t="inlineStr">
        <is>
          <t>CREDIT</t>
        </is>
      </c>
      <c r="D210" t="inlineStr">
        <is>
          <t>return</t>
        </is>
      </c>
      <c r="E210" t="inlineStr">
        <is>
          <t>10Y</t>
        </is>
      </c>
      <c r="F210">
        <f>IF(OPEB!J14="","",OPEB!J14)</f>
        <v/>
      </c>
    </row>
    <row r="211">
      <c r="A211" t="inlineStr">
        <is>
          <t>performance</t>
        </is>
      </c>
      <c r="B211" t="inlineStr">
        <is>
          <t>opeb</t>
        </is>
      </c>
      <c r="C211" t="inlineStr">
        <is>
          <t>CREDIT</t>
        </is>
      </c>
      <c r="D211" t="inlineStr">
        <is>
          <t>benchmark</t>
        </is>
      </c>
      <c r="E211" t="inlineStr">
        <is>
          <t>1M</t>
        </is>
      </c>
      <c r="F211">
        <f>IF(OPEB!C15="","",OPEB!C15)</f>
        <v/>
      </c>
    </row>
    <row r="212">
      <c r="A212" t="inlineStr">
        <is>
          <t>performance</t>
        </is>
      </c>
      <c r="B212" t="inlineStr">
        <is>
          <t>opeb</t>
        </is>
      </c>
      <c r="C212" t="inlineStr">
        <is>
          <t>CREDIT</t>
        </is>
      </c>
      <c r="D212" t="inlineStr">
        <is>
          <t>benchmark</t>
        </is>
      </c>
      <c r="E212" t="inlineStr">
        <is>
          <t>3M</t>
        </is>
      </c>
      <c r="F212">
        <f>IF(OPEB!D15="","",OPEB!D15)</f>
        <v/>
      </c>
    </row>
    <row r="213">
      <c r="A213" t="inlineStr">
        <is>
          <t>performance</t>
        </is>
      </c>
      <c r="B213" t="inlineStr">
        <is>
          <t>opeb</t>
        </is>
      </c>
      <c r="C213" t="inlineStr">
        <is>
          <t>CREDIT</t>
        </is>
      </c>
      <c r="D213" t="inlineStr">
        <is>
          <t>benchmark</t>
        </is>
      </c>
      <c r="E213" t="inlineStr">
        <is>
          <t>FYTD</t>
        </is>
      </c>
      <c r="F213">
        <f>IF(OPEB!E15="","",OPEB!E15)</f>
        <v/>
      </c>
    </row>
    <row r="214">
      <c r="A214" t="inlineStr">
        <is>
          <t>performance</t>
        </is>
      </c>
      <c r="B214" t="inlineStr">
        <is>
          <t>opeb</t>
        </is>
      </c>
      <c r="C214" t="inlineStr">
        <is>
          <t>CREDIT</t>
        </is>
      </c>
      <c r="D214" t="inlineStr">
        <is>
          <t>benchmark</t>
        </is>
      </c>
      <c r="E214" t="inlineStr">
        <is>
          <t>YTD</t>
        </is>
      </c>
      <c r="F214">
        <f>IF(OPEB!F15="","",OPEB!F15)</f>
        <v/>
      </c>
    </row>
    <row r="215">
      <c r="A215" t="inlineStr">
        <is>
          <t>performance</t>
        </is>
      </c>
      <c r="B215" t="inlineStr">
        <is>
          <t>opeb</t>
        </is>
      </c>
      <c r="C215" t="inlineStr">
        <is>
          <t>CREDIT</t>
        </is>
      </c>
      <c r="D215" t="inlineStr">
        <is>
          <t>benchmark</t>
        </is>
      </c>
      <c r="E215" t="inlineStr">
        <is>
          <t>1Y</t>
        </is>
      </c>
      <c r="F215">
        <f>IF(OPEB!G15="","",OPEB!G15)</f>
        <v/>
      </c>
    </row>
    <row r="216">
      <c r="A216" t="inlineStr">
        <is>
          <t>performance</t>
        </is>
      </c>
      <c r="B216" t="inlineStr">
        <is>
          <t>opeb</t>
        </is>
      </c>
      <c r="C216" t="inlineStr">
        <is>
          <t>CREDIT</t>
        </is>
      </c>
      <c r="D216" t="inlineStr">
        <is>
          <t>benchmark</t>
        </is>
      </c>
      <c r="E216" t="inlineStr">
        <is>
          <t>3Y</t>
        </is>
      </c>
      <c r="F216">
        <f>IF(OPEB!H15="","",OPEB!H15)</f>
        <v/>
      </c>
    </row>
    <row r="217">
      <c r="A217" t="inlineStr">
        <is>
          <t>performance</t>
        </is>
      </c>
      <c r="B217" t="inlineStr">
        <is>
          <t>opeb</t>
        </is>
      </c>
      <c r="C217" t="inlineStr">
        <is>
          <t>CREDIT</t>
        </is>
      </c>
      <c r="D217" t="inlineStr">
        <is>
          <t>benchmark</t>
        </is>
      </c>
      <c r="E217" t="inlineStr">
        <is>
          <t>5Y</t>
        </is>
      </c>
      <c r="F217">
        <f>IF(OPEB!I15="","",OPEB!I15)</f>
        <v/>
      </c>
    </row>
    <row r="218">
      <c r="A218" t="inlineStr">
        <is>
          <t>performance</t>
        </is>
      </c>
      <c r="B218" t="inlineStr">
        <is>
          <t>opeb</t>
        </is>
      </c>
      <c r="C218" t="inlineStr">
        <is>
          <t>CREDIT</t>
        </is>
      </c>
      <c r="D218" t="inlineStr">
        <is>
          <t>benchmark</t>
        </is>
      </c>
      <c r="E218" t="inlineStr">
        <is>
          <t>10Y</t>
        </is>
      </c>
      <c r="F218">
        <f>IF(OPEB!J15="","",OPEB!J15)</f>
        <v/>
      </c>
    </row>
    <row r="219">
      <c r="A219" t="inlineStr">
        <is>
          <t>performance</t>
        </is>
      </c>
      <c r="B219" t="inlineStr">
        <is>
          <t>opeb</t>
        </is>
      </c>
      <c r="C219" t="inlineStr">
        <is>
          <t>RAIH</t>
        </is>
      </c>
      <c r="D219" t="inlineStr">
        <is>
          <t>return</t>
        </is>
      </c>
      <c r="E219" t="inlineStr">
        <is>
          <t>1M</t>
        </is>
      </c>
      <c r="F219">
        <f>IF(OPEB!C16="","",OPEB!C16)</f>
        <v/>
      </c>
    </row>
    <row r="220">
      <c r="A220" t="inlineStr">
        <is>
          <t>performance</t>
        </is>
      </c>
      <c r="B220" t="inlineStr">
        <is>
          <t>opeb</t>
        </is>
      </c>
      <c r="C220" t="inlineStr">
        <is>
          <t>RAIH</t>
        </is>
      </c>
      <c r="D220" t="inlineStr">
        <is>
          <t>return</t>
        </is>
      </c>
      <c r="E220" t="inlineStr">
        <is>
          <t>3M</t>
        </is>
      </c>
      <c r="F220">
        <f>IF(OPEB!D16="","",OPEB!D16)</f>
        <v/>
      </c>
    </row>
    <row r="221">
      <c r="A221" t="inlineStr">
        <is>
          <t>performance</t>
        </is>
      </c>
      <c r="B221" t="inlineStr">
        <is>
          <t>opeb</t>
        </is>
      </c>
      <c r="C221" t="inlineStr">
        <is>
          <t>RAIH</t>
        </is>
      </c>
      <c r="D221" t="inlineStr">
        <is>
          <t>return</t>
        </is>
      </c>
      <c r="E221" t="inlineStr">
        <is>
          <t>FYTD</t>
        </is>
      </c>
      <c r="F221">
        <f>IF(OPEB!E16="","",OPEB!E16)</f>
        <v/>
      </c>
    </row>
    <row r="222">
      <c r="A222" t="inlineStr">
        <is>
          <t>performance</t>
        </is>
      </c>
      <c r="B222" t="inlineStr">
        <is>
          <t>opeb</t>
        </is>
      </c>
      <c r="C222" t="inlineStr">
        <is>
          <t>RAIH</t>
        </is>
      </c>
      <c r="D222" t="inlineStr">
        <is>
          <t>return</t>
        </is>
      </c>
      <c r="E222" t="inlineStr">
        <is>
          <t>YTD</t>
        </is>
      </c>
      <c r="F222">
        <f>IF(OPEB!F16="","",OPEB!F16)</f>
        <v/>
      </c>
    </row>
    <row r="223">
      <c r="A223" t="inlineStr">
        <is>
          <t>performance</t>
        </is>
      </c>
      <c r="B223" t="inlineStr">
        <is>
          <t>opeb</t>
        </is>
      </c>
      <c r="C223" t="inlineStr">
        <is>
          <t>RAIH</t>
        </is>
      </c>
      <c r="D223" t="inlineStr">
        <is>
          <t>return</t>
        </is>
      </c>
      <c r="E223" t="inlineStr">
        <is>
          <t>1Y</t>
        </is>
      </c>
      <c r="F223">
        <f>IF(OPEB!G16="","",OPEB!G16)</f>
        <v/>
      </c>
    </row>
    <row r="224">
      <c r="A224" t="inlineStr">
        <is>
          <t>performance</t>
        </is>
      </c>
      <c r="B224" t="inlineStr">
        <is>
          <t>opeb</t>
        </is>
      </c>
      <c r="C224" t="inlineStr">
        <is>
          <t>RAIH</t>
        </is>
      </c>
      <c r="D224" t="inlineStr">
        <is>
          <t>return</t>
        </is>
      </c>
      <c r="E224" t="inlineStr">
        <is>
          <t>3Y</t>
        </is>
      </c>
      <c r="F224">
        <f>IF(OPEB!H16="","",OPEB!H16)</f>
        <v/>
      </c>
    </row>
    <row r="225">
      <c r="A225" t="inlineStr">
        <is>
          <t>performance</t>
        </is>
      </c>
      <c r="B225" t="inlineStr">
        <is>
          <t>opeb</t>
        </is>
      </c>
      <c r="C225" t="inlineStr">
        <is>
          <t>RAIH</t>
        </is>
      </c>
      <c r="D225" t="inlineStr">
        <is>
          <t>return</t>
        </is>
      </c>
      <c r="E225" t="inlineStr">
        <is>
          <t>5Y</t>
        </is>
      </c>
      <c r="F225">
        <f>IF(OPEB!I16="","",OPEB!I16)</f>
        <v/>
      </c>
    </row>
    <row r="226">
      <c r="A226" t="inlineStr">
        <is>
          <t>performance</t>
        </is>
      </c>
      <c r="B226" t="inlineStr">
        <is>
          <t>opeb</t>
        </is>
      </c>
      <c r="C226" t="inlineStr">
        <is>
          <t>RAIH</t>
        </is>
      </c>
      <c r="D226" t="inlineStr">
        <is>
          <t>return</t>
        </is>
      </c>
      <c r="E226" t="inlineStr">
        <is>
          <t>10Y</t>
        </is>
      </c>
      <c r="F226">
        <f>IF(OPEB!J16="","",OPEB!J16)</f>
        <v/>
      </c>
    </row>
    <row r="227">
      <c r="A227" t="inlineStr">
        <is>
          <t>performance</t>
        </is>
      </c>
      <c r="B227" t="inlineStr">
        <is>
          <t>opeb</t>
        </is>
      </c>
      <c r="C227" t="inlineStr">
        <is>
          <t>RAIH</t>
        </is>
      </c>
      <c r="D227" t="inlineStr">
        <is>
          <t>benchmark</t>
        </is>
      </c>
      <c r="E227" t="inlineStr">
        <is>
          <t>1M</t>
        </is>
      </c>
      <c r="F227">
        <f>IF(OPEB!C17="","",OPEB!C17)</f>
        <v/>
      </c>
    </row>
    <row r="228">
      <c r="A228" t="inlineStr">
        <is>
          <t>performance</t>
        </is>
      </c>
      <c r="B228" t="inlineStr">
        <is>
          <t>opeb</t>
        </is>
      </c>
      <c r="C228" t="inlineStr">
        <is>
          <t>RAIH</t>
        </is>
      </c>
      <c r="D228" t="inlineStr">
        <is>
          <t>benchmark</t>
        </is>
      </c>
      <c r="E228" t="inlineStr">
        <is>
          <t>3M</t>
        </is>
      </c>
      <c r="F228">
        <f>IF(OPEB!D17="","",OPEB!D17)</f>
        <v/>
      </c>
    </row>
    <row r="229">
      <c r="A229" t="inlineStr">
        <is>
          <t>performance</t>
        </is>
      </c>
      <c r="B229" t="inlineStr">
        <is>
          <t>opeb</t>
        </is>
      </c>
      <c r="C229" t="inlineStr">
        <is>
          <t>RAIH</t>
        </is>
      </c>
      <c r="D229" t="inlineStr">
        <is>
          <t>benchmark</t>
        </is>
      </c>
      <c r="E229" t="inlineStr">
        <is>
          <t>FYTD</t>
        </is>
      </c>
      <c r="F229">
        <f>IF(OPEB!E17="","",OPEB!E17)</f>
        <v/>
      </c>
    </row>
    <row r="230">
      <c r="A230" t="inlineStr">
        <is>
          <t>performance</t>
        </is>
      </c>
      <c r="B230" t="inlineStr">
        <is>
          <t>opeb</t>
        </is>
      </c>
      <c r="C230" t="inlineStr">
        <is>
          <t>RAIH</t>
        </is>
      </c>
      <c r="D230" t="inlineStr">
        <is>
          <t>benchmark</t>
        </is>
      </c>
      <c r="E230" t="inlineStr">
        <is>
          <t>YTD</t>
        </is>
      </c>
      <c r="F230">
        <f>IF(OPEB!F17="","",OPEB!F17)</f>
        <v/>
      </c>
    </row>
    <row r="231">
      <c r="A231" t="inlineStr">
        <is>
          <t>performance</t>
        </is>
      </c>
      <c r="B231" t="inlineStr">
        <is>
          <t>opeb</t>
        </is>
      </c>
      <c r="C231" t="inlineStr">
        <is>
          <t>RAIH</t>
        </is>
      </c>
      <c r="D231" t="inlineStr">
        <is>
          <t>benchmark</t>
        </is>
      </c>
      <c r="E231" t="inlineStr">
        <is>
          <t>1Y</t>
        </is>
      </c>
      <c r="F231">
        <f>IF(OPEB!G17="","",OPEB!G17)</f>
        <v/>
      </c>
    </row>
    <row r="232">
      <c r="A232" t="inlineStr">
        <is>
          <t>performance</t>
        </is>
      </c>
      <c r="B232" t="inlineStr">
        <is>
          <t>opeb</t>
        </is>
      </c>
      <c r="C232" t="inlineStr">
        <is>
          <t>RAIH</t>
        </is>
      </c>
      <c r="D232" t="inlineStr">
        <is>
          <t>benchmark</t>
        </is>
      </c>
      <c r="E232" t="inlineStr">
        <is>
          <t>3Y</t>
        </is>
      </c>
      <c r="F232">
        <f>IF(OPEB!H17="","",OPEB!H17)</f>
        <v/>
      </c>
    </row>
    <row r="233">
      <c r="A233" t="inlineStr">
        <is>
          <t>performance</t>
        </is>
      </c>
      <c r="B233" t="inlineStr">
        <is>
          <t>opeb</t>
        </is>
      </c>
      <c r="C233" t="inlineStr">
        <is>
          <t>RAIH</t>
        </is>
      </c>
      <c r="D233" t="inlineStr">
        <is>
          <t>benchmark</t>
        </is>
      </c>
      <c r="E233" t="inlineStr">
        <is>
          <t>5Y</t>
        </is>
      </c>
      <c r="F233">
        <f>IF(OPEB!I17="","",OPEB!I17)</f>
        <v/>
      </c>
    </row>
    <row r="234">
      <c r="A234" t="inlineStr">
        <is>
          <t>performance</t>
        </is>
      </c>
      <c r="B234" t="inlineStr">
        <is>
          <t>opeb</t>
        </is>
      </c>
      <c r="C234" t="inlineStr">
        <is>
          <t>RAIH</t>
        </is>
      </c>
      <c r="D234" t="inlineStr">
        <is>
          <t>benchmark</t>
        </is>
      </c>
      <c r="E234" t="inlineStr">
        <is>
          <t>10Y</t>
        </is>
      </c>
      <c r="F234">
        <f>IF(OPEB!J17="","",OPEB!J17)</f>
        <v/>
      </c>
    </row>
    <row r="235">
      <c r="A235" t="inlineStr">
        <is>
          <t>performance</t>
        </is>
      </c>
      <c r="B235" t="inlineStr">
        <is>
          <t>opeb</t>
        </is>
      </c>
      <c r="C235" t="inlineStr">
        <is>
          <t>RRM</t>
        </is>
      </c>
      <c r="D235" t="inlineStr">
        <is>
          <t>return</t>
        </is>
      </c>
      <c r="E235" t="inlineStr">
        <is>
          <t>1M</t>
        </is>
      </c>
      <c r="F235">
        <f>IF(OPEB!C18="","",OPEB!C18)</f>
        <v/>
      </c>
    </row>
    <row r="236">
      <c r="A236" t="inlineStr">
        <is>
          <t>performance</t>
        </is>
      </c>
      <c r="B236" t="inlineStr">
        <is>
          <t>opeb</t>
        </is>
      </c>
      <c r="C236" t="inlineStr">
        <is>
          <t>RRM</t>
        </is>
      </c>
      <c r="D236" t="inlineStr">
        <is>
          <t>return</t>
        </is>
      </c>
      <c r="E236" t="inlineStr">
        <is>
          <t>3M</t>
        </is>
      </c>
      <c r="F236">
        <f>IF(OPEB!D18="","",OPEB!D18)</f>
        <v/>
      </c>
    </row>
    <row r="237">
      <c r="A237" t="inlineStr">
        <is>
          <t>performance</t>
        </is>
      </c>
      <c r="B237" t="inlineStr">
        <is>
          <t>opeb</t>
        </is>
      </c>
      <c r="C237" t="inlineStr">
        <is>
          <t>RRM</t>
        </is>
      </c>
      <c r="D237" t="inlineStr">
        <is>
          <t>return</t>
        </is>
      </c>
      <c r="E237" t="inlineStr">
        <is>
          <t>FYTD</t>
        </is>
      </c>
      <c r="F237">
        <f>IF(OPEB!E18="","",OPEB!E18)</f>
        <v/>
      </c>
    </row>
    <row r="238">
      <c r="A238" t="inlineStr">
        <is>
          <t>performance</t>
        </is>
      </c>
      <c r="B238" t="inlineStr">
        <is>
          <t>opeb</t>
        </is>
      </c>
      <c r="C238" t="inlineStr">
        <is>
          <t>RRM</t>
        </is>
      </c>
      <c r="D238" t="inlineStr">
        <is>
          <t>return</t>
        </is>
      </c>
      <c r="E238" t="inlineStr">
        <is>
          <t>YTD</t>
        </is>
      </c>
      <c r="F238">
        <f>IF(OPEB!F18="","",OPEB!F18)</f>
        <v/>
      </c>
    </row>
    <row r="239">
      <c r="A239" t="inlineStr">
        <is>
          <t>performance</t>
        </is>
      </c>
      <c r="B239" t="inlineStr">
        <is>
          <t>opeb</t>
        </is>
      </c>
      <c r="C239" t="inlineStr">
        <is>
          <t>RRM</t>
        </is>
      </c>
      <c r="D239" t="inlineStr">
        <is>
          <t>return</t>
        </is>
      </c>
      <c r="E239" t="inlineStr">
        <is>
          <t>1Y</t>
        </is>
      </c>
      <c r="F239">
        <f>IF(OPEB!G18="","",OPEB!G18)</f>
        <v/>
      </c>
    </row>
    <row r="240">
      <c r="A240" t="inlineStr">
        <is>
          <t>performance</t>
        </is>
      </c>
      <c r="B240" t="inlineStr">
        <is>
          <t>opeb</t>
        </is>
      </c>
      <c r="C240" t="inlineStr">
        <is>
          <t>RRM</t>
        </is>
      </c>
      <c r="D240" t="inlineStr">
        <is>
          <t>return</t>
        </is>
      </c>
      <c r="E240" t="inlineStr">
        <is>
          <t>3Y</t>
        </is>
      </c>
      <c r="F240">
        <f>IF(OPEB!H18="","",OPEB!H18)</f>
        <v/>
      </c>
    </row>
    <row r="241">
      <c r="A241" t="inlineStr">
        <is>
          <t>performance</t>
        </is>
      </c>
      <c r="B241" t="inlineStr">
        <is>
          <t>opeb</t>
        </is>
      </c>
      <c r="C241" t="inlineStr">
        <is>
          <t>RRM</t>
        </is>
      </c>
      <c r="D241" t="inlineStr">
        <is>
          <t>return</t>
        </is>
      </c>
      <c r="E241" t="inlineStr">
        <is>
          <t>5Y</t>
        </is>
      </c>
      <c r="F241">
        <f>IF(OPEB!I18="","",OPEB!I18)</f>
        <v/>
      </c>
    </row>
    <row r="242">
      <c r="A242" t="inlineStr">
        <is>
          <t>performance</t>
        </is>
      </c>
      <c r="B242" t="inlineStr">
        <is>
          <t>opeb</t>
        </is>
      </c>
      <c r="C242" t="inlineStr">
        <is>
          <t>RRM</t>
        </is>
      </c>
      <c r="D242" t="inlineStr">
        <is>
          <t>return</t>
        </is>
      </c>
      <c r="E242" t="inlineStr">
        <is>
          <t>10Y</t>
        </is>
      </c>
      <c r="F242">
        <f>IF(OPEB!J18="","",OPEB!J18)</f>
        <v/>
      </c>
    </row>
    <row r="243">
      <c r="A243" t="inlineStr">
        <is>
          <t>performance</t>
        </is>
      </c>
      <c r="B243" t="inlineStr">
        <is>
          <t>opeb</t>
        </is>
      </c>
      <c r="C243" t="inlineStr">
        <is>
          <t>RRM</t>
        </is>
      </c>
      <c r="D243" t="inlineStr">
        <is>
          <t>benchmark</t>
        </is>
      </c>
      <c r="E243" t="inlineStr">
        <is>
          <t>1M</t>
        </is>
      </c>
      <c r="F243">
        <f>IF(OPEB!C19="","",OPEB!C19)</f>
        <v/>
      </c>
    </row>
    <row r="244">
      <c r="A244" t="inlineStr">
        <is>
          <t>performance</t>
        </is>
      </c>
      <c r="B244" t="inlineStr">
        <is>
          <t>opeb</t>
        </is>
      </c>
      <c r="C244" t="inlineStr">
        <is>
          <t>RRM</t>
        </is>
      </c>
      <c r="D244" t="inlineStr">
        <is>
          <t>benchmark</t>
        </is>
      </c>
      <c r="E244" t="inlineStr">
        <is>
          <t>3M</t>
        </is>
      </c>
      <c r="F244">
        <f>IF(OPEB!D19="","",OPEB!D19)</f>
        <v/>
      </c>
    </row>
    <row r="245">
      <c r="A245" t="inlineStr">
        <is>
          <t>performance</t>
        </is>
      </c>
      <c r="B245" t="inlineStr">
        <is>
          <t>opeb</t>
        </is>
      </c>
      <c r="C245" t="inlineStr">
        <is>
          <t>RRM</t>
        </is>
      </c>
      <c r="D245" t="inlineStr">
        <is>
          <t>benchmark</t>
        </is>
      </c>
      <c r="E245" t="inlineStr">
        <is>
          <t>FYTD</t>
        </is>
      </c>
      <c r="F245">
        <f>IF(OPEB!E19="","",OPEB!E19)</f>
        <v/>
      </c>
    </row>
    <row r="246">
      <c r="A246" t="inlineStr">
        <is>
          <t>performance</t>
        </is>
      </c>
      <c r="B246" t="inlineStr">
        <is>
          <t>opeb</t>
        </is>
      </c>
      <c r="C246" t="inlineStr">
        <is>
          <t>RRM</t>
        </is>
      </c>
      <c r="D246" t="inlineStr">
        <is>
          <t>benchmark</t>
        </is>
      </c>
      <c r="E246" t="inlineStr">
        <is>
          <t>YTD</t>
        </is>
      </c>
      <c r="F246">
        <f>IF(OPEB!F19="","",OPEB!F19)</f>
        <v/>
      </c>
    </row>
    <row r="247">
      <c r="A247" t="inlineStr">
        <is>
          <t>performance</t>
        </is>
      </c>
      <c r="B247" t="inlineStr">
        <is>
          <t>opeb</t>
        </is>
      </c>
      <c r="C247" t="inlineStr">
        <is>
          <t>RRM</t>
        </is>
      </c>
      <c r="D247" t="inlineStr">
        <is>
          <t>benchmark</t>
        </is>
      </c>
      <c r="E247" t="inlineStr">
        <is>
          <t>1Y</t>
        </is>
      </c>
      <c r="F247">
        <f>IF(OPEB!G19="","",OPEB!G19)</f>
        <v/>
      </c>
    </row>
    <row r="248">
      <c r="A248" t="inlineStr">
        <is>
          <t>performance</t>
        </is>
      </c>
      <c r="B248" t="inlineStr">
        <is>
          <t>opeb</t>
        </is>
      </c>
      <c r="C248" t="inlineStr">
        <is>
          <t>RRM</t>
        </is>
      </c>
      <c r="D248" t="inlineStr">
        <is>
          <t>benchmark</t>
        </is>
      </c>
      <c r="E248" t="inlineStr">
        <is>
          <t>3Y</t>
        </is>
      </c>
      <c r="F248">
        <f>IF(OPEB!H19="","",OPEB!H19)</f>
        <v/>
      </c>
    </row>
    <row r="249">
      <c r="A249" t="inlineStr">
        <is>
          <t>performance</t>
        </is>
      </c>
      <c r="B249" t="inlineStr">
        <is>
          <t>opeb</t>
        </is>
      </c>
      <c r="C249" t="inlineStr">
        <is>
          <t>RRM</t>
        </is>
      </c>
      <c r="D249" t="inlineStr">
        <is>
          <t>benchmark</t>
        </is>
      </c>
      <c r="E249" t="inlineStr">
        <is>
          <t>5Y</t>
        </is>
      </c>
      <c r="F249">
        <f>IF(OPEB!I19="","",OPEB!I19)</f>
        <v/>
      </c>
    </row>
    <row r="250">
      <c r="A250" t="inlineStr">
        <is>
          <t>performance</t>
        </is>
      </c>
      <c r="B250" t="inlineStr">
        <is>
          <t>opeb</t>
        </is>
      </c>
      <c r="C250" t="inlineStr">
        <is>
          <t>RRM</t>
        </is>
      </c>
      <c r="D250" t="inlineStr">
        <is>
          <t>benchmark</t>
        </is>
      </c>
      <c r="E250" t="inlineStr">
        <is>
          <t>10Y</t>
        </is>
      </c>
      <c r="F250">
        <f>IF(OPEB!J19="","",OPEB!J19)</f>
        <v/>
      </c>
    </row>
    <row r="251">
      <c r="A251" t="inlineStr">
        <is>
          <t>allocation</t>
        </is>
      </c>
      <c r="B251" t="inlineStr">
        <is>
          <t>opeb</t>
        </is>
      </c>
      <c r="C251" t="inlineStr">
        <is>
          <t>GROWTH</t>
        </is>
      </c>
      <c r="D251" t="inlineStr">
        <is>
          <t>market_value</t>
        </is>
      </c>
      <c r="F251">
        <f>IF(OPEB!C22="","",OPEB!C22)</f>
        <v/>
      </c>
    </row>
    <row r="252">
      <c r="A252" t="inlineStr">
        <is>
          <t>allocation</t>
        </is>
      </c>
      <c r="B252" t="inlineStr">
        <is>
          <t>opeb</t>
        </is>
      </c>
      <c r="C252" t="inlineStr">
        <is>
          <t>GROWTH</t>
        </is>
      </c>
      <c r="D252" t="inlineStr">
        <is>
          <t>weight</t>
        </is>
      </c>
      <c r="F252">
        <f>IF(OPEB!D22="","",OPEB!D22)</f>
        <v/>
      </c>
    </row>
    <row r="253">
      <c r="A253" t="inlineStr">
        <is>
          <t>allocation</t>
        </is>
      </c>
      <c r="B253" t="inlineStr">
        <is>
          <t>opeb</t>
        </is>
      </c>
      <c r="C253" t="inlineStr">
        <is>
          <t>GROWTH</t>
        </is>
      </c>
      <c r="D253" t="inlineStr">
        <is>
          <t>target</t>
        </is>
      </c>
      <c r="F253">
        <f>IF(OPEB!E22="","",OPEB!E22)</f>
        <v/>
      </c>
    </row>
    <row r="254">
      <c r="A254" t="inlineStr">
        <is>
          <t>allocation</t>
        </is>
      </c>
      <c r="B254" t="inlineStr">
        <is>
          <t>opeb</t>
        </is>
      </c>
      <c r="C254" t="inlineStr">
        <is>
          <t>GROWTH</t>
        </is>
      </c>
      <c r="D254" t="inlineStr">
        <is>
          <t>flow</t>
        </is>
      </c>
      <c r="F254">
        <f>IF(OPEB!F22="","",OPEB!F22)</f>
        <v/>
      </c>
    </row>
    <row r="255">
      <c r="A255" t="inlineStr">
        <is>
          <t>allocation</t>
        </is>
      </c>
      <c r="B255" t="inlineStr">
        <is>
          <t>opeb</t>
        </is>
      </c>
      <c r="C255" t="inlineStr">
        <is>
          <t>CREDIT</t>
        </is>
      </c>
      <c r="D255" t="inlineStr">
        <is>
          <t>market_value</t>
        </is>
      </c>
      <c r="F255">
        <f>IF(OPEB!C23="","",OPEB!C23)</f>
        <v/>
      </c>
    </row>
    <row r="256">
      <c r="A256" t="inlineStr">
        <is>
          <t>allocation</t>
        </is>
      </c>
      <c r="B256" t="inlineStr">
        <is>
          <t>opeb</t>
        </is>
      </c>
      <c r="C256" t="inlineStr">
        <is>
          <t>CREDIT</t>
        </is>
      </c>
      <c r="D256" t="inlineStr">
        <is>
          <t>weight</t>
        </is>
      </c>
      <c r="F256">
        <f>IF(OPEB!D23="","",OPEB!D23)</f>
        <v/>
      </c>
    </row>
    <row r="257">
      <c r="A257" t="inlineStr">
        <is>
          <t>allocation</t>
        </is>
      </c>
      <c r="B257" t="inlineStr">
        <is>
          <t>opeb</t>
        </is>
      </c>
      <c r="C257" t="inlineStr">
        <is>
          <t>CREDIT</t>
        </is>
      </c>
      <c r="D257" t="inlineStr">
        <is>
          <t>target</t>
        </is>
      </c>
      <c r="F257">
        <f>IF(OPEB!E23="","",OPEB!E23)</f>
        <v/>
      </c>
    </row>
    <row r="258">
      <c r="A258" t="inlineStr">
        <is>
          <t>allocation</t>
        </is>
      </c>
      <c r="B258" t="inlineStr">
        <is>
          <t>opeb</t>
        </is>
      </c>
      <c r="C258" t="inlineStr">
        <is>
          <t>CREDIT</t>
        </is>
      </c>
      <c r="D258" t="inlineStr">
        <is>
          <t>flow</t>
        </is>
      </c>
      <c r="F258">
        <f>IF(OPEB!F23="","",OPEB!F23)</f>
        <v/>
      </c>
    </row>
    <row r="259">
      <c r="A259" t="inlineStr">
        <is>
          <t>allocation</t>
        </is>
      </c>
      <c r="B259" t="inlineStr">
        <is>
          <t>opeb</t>
        </is>
      </c>
      <c r="C259" t="inlineStr">
        <is>
          <t>RAIH</t>
        </is>
      </c>
      <c r="D259" t="inlineStr">
        <is>
          <t>market_value</t>
        </is>
      </c>
      <c r="F259">
        <f>IF(OPEB!C24="","",OPEB!C24)</f>
        <v/>
      </c>
    </row>
    <row r="260">
      <c r="A260" t="inlineStr">
        <is>
          <t>allocation</t>
        </is>
      </c>
      <c r="B260" t="inlineStr">
        <is>
          <t>opeb</t>
        </is>
      </c>
      <c r="C260" t="inlineStr">
        <is>
          <t>RAIH</t>
        </is>
      </c>
      <c r="D260" t="inlineStr">
        <is>
          <t>weight</t>
        </is>
      </c>
      <c r="F260">
        <f>IF(OPEB!D24="","",OPEB!D24)</f>
        <v/>
      </c>
    </row>
    <row r="261">
      <c r="A261" t="inlineStr">
        <is>
          <t>allocation</t>
        </is>
      </c>
      <c r="B261" t="inlineStr">
        <is>
          <t>opeb</t>
        </is>
      </c>
      <c r="C261" t="inlineStr">
        <is>
          <t>RAIH</t>
        </is>
      </c>
      <c r="D261" t="inlineStr">
        <is>
          <t>target</t>
        </is>
      </c>
      <c r="F261">
        <f>IF(OPEB!E24="","",OPEB!E24)</f>
        <v/>
      </c>
    </row>
    <row r="262">
      <c r="A262" t="inlineStr">
        <is>
          <t>allocation</t>
        </is>
      </c>
      <c r="B262" t="inlineStr">
        <is>
          <t>opeb</t>
        </is>
      </c>
      <c r="C262" t="inlineStr">
        <is>
          <t>RAIH</t>
        </is>
      </c>
      <c r="D262" t="inlineStr">
        <is>
          <t>flow</t>
        </is>
      </c>
      <c r="F262">
        <f>IF(OPEB!F24="","",OPEB!F24)</f>
        <v/>
      </c>
    </row>
    <row r="263">
      <c r="A263" t="inlineStr">
        <is>
          <t>allocation</t>
        </is>
      </c>
      <c r="B263" t="inlineStr">
        <is>
          <t>opeb</t>
        </is>
      </c>
      <c r="C263" t="inlineStr">
        <is>
          <t>RRM</t>
        </is>
      </c>
      <c r="D263" t="inlineStr">
        <is>
          <t>market_value</t>
        </is>
      </c>
      <c r="F263">
        <f>IF(OPEB!C25="","",OPEB!C25)</f>
        <v/>
      </c>
    </row>
    <row r="264">
      <c r="A264" t="inlineStr">
        <is>
          <t>allocation</t>
        </is>
      </c>
      <c r="B264" t="inlineStr">
        <is>
          <t>opeb</t>
        </is>
      </c>
      <c r="C264" t="inlineStr">
        <is>
          <t>RRM</t>
        </is>
      </c>
      <c r="D264" t="inlineStr">
        <is>
          <t>weight</t>
        </is>
      </c>
      <c r="F264">
        <f>IF(OPEB!D25="","",OPEB!D25)</f>
        <v/>
      </c>
    </row>
    <row r="265">
      <c r="A265" t="inlineStr">
        <is>
          <t>allocation</t>
        </is>
      </c>
      <c r="B265" t="inlineStr">
        <is>
          <t>opeb</t>
        </is>
      </c>
      <c r="C265" t="inlineStr">
        <is>
          <t>RRM</t>
        </is>
      </c>
      <c r="D265" t="inlineStr">
        <is>
          <t>target</t>
        </is>
      </c>
      <c r="F265">
        <f>IF(OPEB!E25="","",OPEB!E25)</f>
        <v/>
      </c>
    </row>
    <row r="266">
      <c r="A266" t="inlineStr">
        <is>
          <t>allocation</t>
        </is>
      </c>
      <c r="B266" t="inlineStr">
        <is>
          <t>opeb</t>
        </is>
      </c>
      <c r="C266" t="inlineStr">
        <is>
          <t>RRM</t>
        </is>
      </c>
      <c r="D266" t="inlineStr">
        <is>
          <t>flow</t>
        </is>
      </c>
      <c r="F266">
        <f>IF(OPEB!F25="","",OPEB!F25)</f>
        <v/>
      </c>
    </row>
    <row r="267">
      <c r="A267" t="inlineStr">
        <is>
          <t>allocation</t>
        </is>
      </c>
      <c r="B267" t="inlineStr">
        <is>
          <t>opeb</t>
        </is>
      </c>
      <c r="C267" t="inlineStr">
        <is>
          <t>OTHER</t>
        </is>
      </c>
      <c r="D267" t="inlineStr">
        <is>
          <t>label</t>
        </is>
      </c>
      <c r="G267">
        <f>IF(OPEB!B26="","",OPEB!B26)</f>
        <v/>
      </c>
    </row>
    <row r="268">
      <c r="A268" t="inlineStr">
        <is>
          <t>allocation</t>
        </is>
      </c>
      <c r="B268" t="inlineStr">
        <is>
          <t>opeb</t>
        </is>
      </c>
      <c r="C268" t="inlineStr">
        <is>
          <t>OTHER</t>
        </is>
      </c>
      <c r="D268" t="inlineStr">
        <is>
          <t>market_value</t>
        </is>
      </c>
      <c r="F268">
        <f>IF(OPEB!C26="","",OPEB!C26)</f>
        <v/>
      </c>
    </row>
    <row r="269">
      <c r="A269" t="inlineStr">
        <is>
          <t>allocation</t>
        </is>
      </c>
      <c r="B269" t="inlineStr">
        <is>
          <t>opeb</t>
        </is>
      </c>
      <c r="C269" t="inlineStr">
        <is>
          <t>OTHER</t>
        </is>
      </c>
      <c r="D269" t="inlineStr">
        <is>
          <t>weight</t>
        </is>
      </c>
      <c r="F269">
        <f>IF(OPEB!D26="","",OPEB!D26)</f>
        <v/>
      </c>
    </row>
    <row r="270">
      <c r="A270" t="inlineStr">
        <is>
          <t>allocation</t>
        </is>
      </c>
      <c r="B270" t="inlineStr">
        <is>
          <t>opeb</t>
        </is>
      </c>
      <c r="C270" t="inlineStr">
        <is>
          <t>OTHER</t>
        </is>
      </c>
      <c r="D270" t="inlineStr">
        <is>
          <t>flow</t>
        </is>
      </c>
      <c r="F270">
        <f>IF(OPEB!F26="","",OPEB!F26)</f>
        <v/>
      </c>
    </row>
    <row r="271">
      <c r="A271" t="inlineStr">
        <is>
          <t>overlay</t>
        </is>
      </c>
      <c r="B271" t="inlineStr">
        <is>
          <t>opeb</t>
        </is>
      </c>
      <c r="C271">
        <f>IF(OPEB!B30="","",OPEB!B30)</f>
        <v/>
      </c>
      <c r="D271" t="inlineStr">
        <is>
          <t>month_gain</t>
        </is>
      </c>
      <c r="F271">
        <f>IF(OR(OPEB!B30="",OPEB!C30=""),"",OPEB!C30)</f>
        <v/>
      </c>
    </row>
    <row r="272">
      <c r="A272" t="inlineStr">
        <is>
          <t>overlay</t>
        </is>
      </c>
      <c r="B272" t="inlineStr">
        <is>
          <t>opeb</t>
        </is>
      </c>
      <c r="C272">
        <f>IF(OPEB!B30="","",OPEB!B30)</f>
        <v/>
      </c>
      <c r="D272" t="inlineStr">
        <is>
          <t>since_inception</t>
        </is>
      </c>
      <c r="F272">
        <f>IF(OR(OPEB!B30="",OPEB!D30=""),"",OPEB!D30)</f>
        <v/>
      </c>
    </row>
    <row r="273">
      <c r="A273" t="inlineStr">
        <is>
          <t>overlay</t>
        </is>
      </c>
      <c r="B273" t="inlineStr">
        <is>
          <t>opeb</t>
        </is>
      </c>
      <c r="C273">
        <f>IF(OPEB!B31="","",OPEB!B31)</f>
        <v/>
      </c>
      <c r="D273" t="inlineStr">
        <is>
          <t>month_gain</t>
        </is>
      </c>
      <c r="F273">
        <f>IF(OR(OPEB!B31="",OPEB!C31=""),"",OPEB!C31)</f>
        <v/>
      </c>
    </row>
    <row r="274">
      <c r="A274" t="inlineStr">
        <is>
          <t>overlay</t>
        </is>
      </c>
      <c r="B274" t="inlineStr">
        <is>
          <t>opeb</t>
        </is>
      </c>
      <c r="C274">
        <f>IF(OPEB!B31="","",OPEB!B31)</f>
        <v/>
      </c>
      <c r="D274" t="inlineStr">
        <is>
          <t>since_inception</t>
        </is>
      </c>
      <c r="F274">
        <f>IF(OR(OPEB!B31="",OPEB!D31=""),"",OPEB!D31)</f>
        <v/>
      </c>
    </row>
    <row r="275">
      <c r="A275" t="inlineStr">
        <is>
          <t>overlay</t>
        </is>
      </c>
      <c r="B275" t="inlineStr">
        <is>
          <t>opeb</t>
        </is>
      </c>
      <c r="C275">
        <f>IF(OPEB!B32="","",OPEB!B32)</f>
        <v/>
      </c>
      <c r="D275" t="inlineStr">
        <is>
          <t>month_gain</t>
        </is>
      </c>
      <c r="F275">
        <f>IF(OR(OPEB!B32="",OPEB!C32=""),"",OPEB!C32)</f>
        <v/>
      </c>
    </row>
    <row r="276">
      <c r="A276" t="inlineStr">
        <is>
          <t>overlay</t>
        </is>
      </c>
      <c r="B276" t="inlineStr">
        <is>
          <t>opeb</t>
        </is>
      </c>
      <c r="C276">
        <f>IF(OPEB!B32="","",OPEB!B32)</f>
        <v/>
      </c>
      <c r="D276" t="inlineStr">
        <is>
          <t>since_inception</t>
        </is>
      </c>
      <c r="F276">
        <f>IF(OR(OPEB!B32="",OPEB!D32=""),"",OPEB!D32)</f>
        <v/>
      </c>
    </row>
    <row r="277">
      <c r="A277" t="inlineStr">
        <is>
          <t>overlay</t>
        </is>
      </c>
      <c r="B277" t="inlineStr">
        <is>
          <t>opeb</t>
        </is>
      </c>
      <c r="C277">
        <f>IF(OPEB!B33="","",OPEB!B33)</f>
        <v/>
      </c>
      <c r="D277" t="inlineStr">
        <is>
          <t>month_gain</t>
        </is>
      </c>
      <c r="F277">
        <f>IF(OR(OPEB!B33="",OPEB!C33=""),"",OPEB!C33)</f>
        <v/>
      </c>
    </row>
    <row r="278">
      <c r="A278" t="inlineStr">
        <is>
          <t>overlay</t>
        </is>
      </c>
      <c r="B278" t="inlineStr">
        <is>
          <t>opeb</t>
        </is>
      </c>
      <c r="C278">
        <f>IF(OPEB!B33="","",OPEB!B33)</f>
        <v/>
      </c>
      <c r="D278" t="inlineStr">
        <is>
          <t>since_inception</t>
        </is>
      </c>
      <c r="F278">
        <f>IF(OR(OPEB!B33="",OPEB!D33=""),"",OPEB!D33)</f>
        <v/>
      </c>
    </row>
    <row r="279">
      <c r="A279" t="inlineStr">
        <is>
          <t>histogram</t>
        </is>
      </c>
      <c r="B279" t="inlineStr">
        <is>
          <t>opeb</t>
        </is>
      </c>
      <c r="C279" t="inlineStr">
        <is>
          <t>BIN_00</t>
        </is>
      </c>
      <c r="D279" t="inlineStr">
        <is>
          <t>count</t>
        </is>
      </c>
      <c r="F279">
        <f>IF(OPEB!C36="","",OPEB!C36)</f>
        <v/>
      </c>
    </row>
    <row r="280">
      <c r="A280" t="inlineStr">
        <is>
          <t>histogram</t>
        </is>
      </c>
      <c r="B280" t="inlineStr">
        <is>
          <t>opeb</t>
        </is>
      </c>
      <c r="C280" t="inlineStr">
        <is>
          <t>BIN_01</t>
        </is>
      </c>
      <c r="D280" t="inlineStr">
        <is>
          <t>count</t>
        </is>
      </c>
      <c r="F280">
        <f>IF(OPEB!C37="","",OPEB!C37)</f>
        <v/>
      </c>
    </row>
    <row r="281">
      <c r="A281" t="inlineStr">
        <is>
          <t>histogram</t>
        </is>
      </c>
      <c r="B281" t="inlineStr">
        <is>
          <t>opeb</t>
        </is>
      </c>
      <c r="C281" t="inlineStr">
        <is>
          <t>BIN_02</t>
        </is>
      </c>
      <c r="D281" t="inlineStr">
        <is>
          <t>count</t>
        </is>
      </c>
      <c r="F281">
        <f>IF(OPEB!C38="","",OPEB!C38)</f>
        <v/>
      </c>
    </row>
    <row r="282">
      <c r="A282" t="inlineStr">
        <is>
          <t>histogram</t>
        </is>
      </c>
      <c r="B282" t="inlineStr">
        <is>
          <t>opeb</t>
        </is>
      </c>
      <c r="C282" t="inlineStr">
        <is>
          <t>BIN_03</t>
        </is>
      </c>
      <c r="D282" t="inlineStr">
        <is>
          <t>count</t>
        </is>
      </c>
      <c r="F282">
        <f>IF(OPEB!C39="","",OPEB!C39)</f>
        <v/>
      </c>
    </row>
    <row r="283">
      <c r="A283" t="inlineStr">
        <is>
          <t>histogram</t>
        </is>
      </c>
      <c r="B283" t="inlineStr">
        <is>
          <t>opeb</t>
        </is>
      </c>
      <c r="C283" t="inlineStr">
        <is>
          <t>BIN_04</t>
        </is>
      </c>
      <c r="D283" t="inlineStr">
        <is>
          <t>count</t>
        </is>
      </c>
      <c r="F283">
        <f>IF(OPEB!C40="","",OPEB!C40)</f>
        <v/>
      </c>
    </row>
    <row r="284">
      <c r="A284" t="inlineStr">
        <is>
          <t>histogram</t>
        </is>
      </c>
      <c r="B284" t="inlineStr">
        <is>
          <t>opeb</t>
        </is>
      </c>
      <c r="C284" t="inlineStr">
        <is>
          <t>BIN_05</t>
        </is>
      </c>
      <c r="D284" t="inlineStr">
        <is>
          <t>count</t>
        </is>
      </c>
      <c r="F284">
        <f>IF(OPEB!C41="","",OPEB!C41)</f>
        <v/>
      </c>
    </row>
    <row r="285">
      <c r="A285" t="inlineStr">
        <is>
          <t>histogram</t>
        </is>
      </c>
      <c r="B285" t="inlineStr">
        <is>
          <t>opeb</t>
        </is>
      </c>
      <c r="C285" t="inlineStr">
        <is>
          <t>BIN_06</t>
        </is>
      </c>
      <c r="D285" t="inlineStr">
        <is>
          <t>count</t>
        </is>
      </c>
      <c r="F285">
        <f>IF(OPEB!C42="","",OPEB!C42)</f>
        <v/>
      </c>
    </row>
    <row r="286">
      <c r="A286" t="inlineStr">
        <is>
          <t>histogram</t>
        </is>
      </c>
      <c r="B286" t="inlineStr">
        <is>
          <t>opeb</t>
        </is>
      </c>
      <c r="C286" t="inlineStr">
        <is>
          <t>BIN_07</t>
        </is>
      </c>
      <c r="D286" t="inlineStr">
        <is>
          <t>count</t>
        </is>
      </c>
      <c r="F286">
        <f>IF(OPEB!C43="","",OPEB!C43)</f>
        <v/>
      </c>
    </row>
    <row r="287">
      <c r="A287" t="inlineStr">
        <is>
          <t>histogram</t>
        </is>
      </c>
      <c r="B287" t="inlineStr">
        <is>
          <t>opeb</t>
        </is>
      </c>
      <c r="C287" t="inlineStr">
        <is>
          <t>BIN_08</t>
        </is>
      </c>
      <c r="D287" t="inlineStr">
        <is>
          <t>count</t>
        </is>
      </c>
      <c r="F287">
        <f>IF(OPEB!C44="","",OPEB!C44)</f>
        <v/>
      </c>
    </row>
    <row r="288">
      <c r="A288" t="inlineStr">
        <is>
          <t>histogram</t>
        </is>
      </c>
      <c r="B288" t="inlineStr">
        <is>
          <t>opeb</t>
        </is>
      </c>
      <c r="C288" t="inlineStr">
        <is>
          <t>BIN_09</t>
        </is>
      </c>
      <c r="D288" t="inlineStr">
        <is>
          <t>count</t>
        </is>
      </c>
      <c r="F288">
        <f>IF(OPEB!C45="","",OPEB!C45)</f>
        <v/>
      </c>
    </row>
    <row r="289">
      <c r="A289" t="inlineStr">
        <is>
          <t>histogram</t>
        </is>
      </c>
      <c r="B289" t="inlineStr">
        <is>
          <t>opeb</t>
        </is>
      </c>
      <c r="C289" t="inlineStr">
        <is>
          <t>BIN_10</t>
        </is>
      </c>
      <c r="D289" t="inlineStr">
        <is>
          <t>count</t>
        </is>
      </c>
      <c r="F289">
        <f>IF(OPEB!C46="","",OPEB!C46)</f>
        <v/>
      </c>
    </row>
    <row r="290">
      <c r="A290" t="inlineStr">
        <is>
          <t>histogram</t>
        </is>
      </c>
      <c r="B290" t="inlineStr">
        <is>
          <t>opeb</t>
        </is>
      </c>
      <c r="C290" t="inlineStr">
        <is>
          <t>BIN_11</t>
        </is>
      </c>
      <c r="D290" t="inlineStr">
        <is>
          <t>count</t>
        </is>
      </c>
      <c r="F290">
        <f>IF(OPEB!C47="","",OPEB!C47)</f>
        <v/>
      </c>
    </row>
    <row r="291">
      <c r="A291" t="inlineStr">
        <is>
          <t>histogram</t>
        </is>
      </c>
      <c r="B291" t="inlineStr">
        <is>
          <t>opeb</t>
        </is>
      </c>
      <c r="C291" t="inlineStr">
        <is>
          <t>BIN_12</t>
        </is>
      </c>
      <c r="D291" t="inlineStr">
        <is>
          <t>count</t>
        </is>
      </c>
      <c r="F291">
        <f>IF(OPEB!C48="","",OPEB!C48)</f>
        <v/>
      </c>
    </row>
    <row r="292">
      <c r="A292" t="inlineStr">
        <is>
          <t>histogram</t>
        </is>
      </c>
      <c r="B292" t="inlineStr">
        <is>
          <t>opeb</t>
        </is>
      </c>
      <c r="C292" t="inlineStr">
        <is>
          <t>BIN_13</t>
        </is>
      </c>
      <c r="D292" t="inlineStr">
        <is>
          <t>count</t>
        </is>
      </c>
      <c r="F292">
        <f>IF(OPEB!C49="","",OPEB!C49)</f>
        <v/>
      </c>
    </row>
    <row r="293">
      <c r="A293" t="inlineStr">
        <is>
          <t>histogram</t>
        </is>
      </c>
      <c r="B293" t="inlineStr">
        <is>
          <t>opeb</t>
        </is>
      </c>
      <c r="C293" t="inlineStr">
        <is>
          <t>STAT</t>
        </is>
      </c>
      <c r="D293" t="inlineStr">
        <is>
          <t>mean</t>
        </is>
      </c>
      <c r="F293">
        <f>IF(OPEB!C51="","",OPEB!C51)</f>
        <v/>
      </c>
    </row>
    <row r="294">
      <c r="A294" t="inlineStr">
        <is>
          <t>histogram</t>
        </is>
      </c>
      <c r="B294" t="inlineStr">
        <is>
          <t>opeb</t>
        </is>
      </c>
      <c r="C294" t="inlineStr">
        <is>
          <t>STAT</t>
        </is>
      </c>
      <c r="D294" t="inlineStr">
        <is>
          <t>saa</t>
        </is>
      </c>
      <c r="F294">
        <f>IF(OPEB!C52="","",OPEB!C52)</f>
        <v/>
      </c>
    </row>
    <row r="295">
      <c r="A295" t="inlineStr">
        <is>
          <t>histogram</t>
        </is>
      </c>
      <c r="B295" t="inlineStr">
        <is>
          <t>opeb</t>
        </is>
      </c>
      <c r="C295" t="inlineStr">
        <is>
          <t>STAT</t>
        </is>
      </c>
      <c r="D295" t="inlineStr">
        <is>
          <t>sd</t>
        </is>
      </c>
      <c r="F295">
        <f>IF(OPEB!C53="","",OPEB!C53)</f>
        <v/>
      </c>
    </row>
    <row r="296">
      <c r="A296" t="inlineStr">
        <is>
          <t>histogram</t>
        </is>
      </c>
      <c r="B296" t="inlineStr">
        <is>
          <t>opeb</t>
        </is>
      </c>
      <c r="C296" t="inlineStr">
        <is>
          <t>STAT</t>
        </is>
      </c>
      <c r="D296" t="inlineStr">
        <is>
          <t>min</t>
        </is>
      </c>
      <c r="F296">
        <f>IF(OPEB!C54="","",OPEB!C54)</f>
        <v/>
      </c>
    </row>
    <row r="297">
      <c r="A297" t="inlineStr">
        <is>
          <t>histogram</t>
        </is>
      </c>
      <c r="B297" t="inlineStr">
        <is>
          <t>opeb</t>
        </is>
      </c>
      <c r="C297" t="inlineStr">
        <is>
          <t>STAT</t>
        </is>
      </c>
      <c r="D297" t="inlineStr">
        <is>
          <t>max</t>
        </is>
      </c>
      <c r="F297">
        <f>IF(OPEB!C55="","",OPEB!C55)</f>
        <v/>
      </c>
    </row>
    <row r="298">
      <c r="A298" t="inlineStr">
        <is>
          <t>histogram</t>
        </is>
      </c>
      <c r="B298" t="inlineStr">
        <is>
          <t>opeb</t>
        </is>
      </c>
      <c r="C298" t="inlineStr">
        <is>
          <t>STAT</t>
        </is>
      </c>
      <c r="D298" t="inlineStr">
        <is>
          <t>latest</t>
        </is>
      </c>
      <c r="F298">
        <f>IF(OPEB!C56="","",OPEB!C56)</f>
        <v/>
      </c>
    </row>
    <row r="299">
      <c r="A299" t="inlineStr">
        <is>
          <t>geography</t>
        </is>
      </c>
      <c r="B299" t="inlineStr">
        <is>
          <t>opeb</t>
        </is>
      </c>
      <c r="C299" t="inlineStr">
        <is>
          <t>DM</t>
        </is>
      </c>
      <c r="D299" t="inlineStr">
        <is>
          <t>share</t>
        </is>
      </c>
      <c r="F299">
        <f>IF(OPEB!C59="","",OPEB!C59)</f>
        <v/>
      </c>
    </row>
    <row r="300">
      <c r="A300" t="inlineStr">
        <is>
          <t>geography</t>
        </is>
      </c>
      <c r="B300" t="inlineStr">
        <is>
          <t>opeb</t>
        </is>
      </c>
      <c r="C300" t="inlineStr">
        <is>
          <t>DM</t>
        </is>
      </c>
      <c r="D300" t="inlineStr">
        <is>
          <t>markets</t>
        </is>
      </c>
      <c r="F300">
        <f>IF(OPEB!D59="","",OPEB!D59)</f>
        <v/>
      </c>
    </row>
    <row r="301">
      <c r="A301" t="inlineStr">
        <is>
          <t>geography</t>
        </is>
      </c>
      <c r="B301" t="inlineStr">
        <is>
          <t>opeb</t>
        </is>
      </c>
      <c r="C301" t="inlineStr">
        <is>
          <t>EM</t>
        </is>
      </c>
      <c r="D301" t="inlineStr">
        <is>
          <t>share</t>
        </is>
      </c>
      <c r="F301">
        <f>IF(OPEB!C60="","",OPEB!C60)</f>
        <v/>
      </c>
    </row>
    <row r="302">
      <c r="A302" t="inlineStr">
        <is>
          <t>geography</t>
        </is>
      </c>
      <c r="B302" t="inlineStr">
        <is>
          <t>opeb</t>
        </is>
      </c>
      <c r="C302" t="inlineStr">
        <is>
          <t>EM</t>
        </is>
      </c>
      <c r="D302" t="inlineStr">
        <is>
          <t>markets</t>
        </is>
      </c>
      <c r="F302">
        <f>IF(OPEB!D60="","",OPEB!D60)</f>
        <v/>
      </c>
    </row>
    <row r="303">
      <c r="A303" t="inlineStr">
        <is>
          <t>geography</t>
        </is>
      </c>
      <c r="B303" t="inlineStr">
        <is>
          <t>opeb</t>
        </is>
      </c>
      <c r="C303" t="inlineStr">
        <is>
          <t>TOTAL</t>
        </is>
      </c>
      <c r="D303" t="inlineStr">
        <is>
          <t>markets</t>
        </is>
      </c>
      <c r="F303">
        <f>IF(OPEB!D61="","",OPEB!D61)</f>
        <v/>
      </c>
    </row>
    <row r="304">
      <c r="A304" t="inlineStr">
        <is>
          <t>country</t>
        </is>
      </c>
      <c r="B304" t="inlineStr">
        <is>
          <t>opeb</t>
        </is>
      </c>
      <c r="C304">
        <f>IF(OPEB!B63="","",OPEB!B63)</f>
        <v/>
      </c>
      <c r="D304" t="inlineStr">
        <is>
          <t>share</t>
        </is>
      </c>
      <c r="F304">
        <f>IF(OR(OPEB!B63="",OPEB!C63=""),"",OPEB!C63)</f>
        <v/>
      </c>
      <c r="G304">
        <f>IF(OPEB!B63="","","dm")</f>
        <v/>
      </c>
    </row>
    <row r="305">
      <c r="A305" t="inlineStr">
        <is>
          <t>country</t>
        </is>
      </c>
      <c r="B305" t="inlineStr">
        <is>
          <t>opeb</t>
        </is>
      </c>
      <c r="C305">
        <f>IF(OPEB!B64="","",OPEB!B64)</f>
        <v/>
      </c>
      <c r="D305" t="inlineStr">
        <is>
          <t>share</t>
        </is>
      </c>
      <c r="F305">
        <f>IF(OR(OPEB!B64="",OPEB!C64=""),"",OPEB!C64)</f>
        <v/>
      </c>
      <c r="G305">
        <f>IF(OPEB!B64="","","dm")</f>
        <v/>
      </c>
    </row>
    <row r="306">
      <c r="A306" t="inlineStr">
        <is>
          <t>country</t>
        </is>
      </c>
      <c r="B306" t="inlineStr">
        <is>
          <t>opeb</t>
        </is>
      </c>
      <c r="C306">
        <f>IF(OPEB!B65="","",OPEB!B65)</f>
        <v/>
      </c>
      <c r="D306" t="inlineStr">
        <is>
          <t>share</t>
        </is>
      </c>
      <c r="F306">
        <f>IF(OR(OPEB!B65="",OPEB!C65=""),"",OPEB!C65)</f>
        <v/>
      </c>
      <c r="G306">
        <f>IF(OPEB!B65="","","dm")</f>
        <v/>
      </c>
    </row>
    <row r="307">
      <c r="A307" t="inlineStr">
        <is>
          <t>country</t>
        </is>
      </c>
      <c r="B307" t="inlineStr">
        <is>
          <t>opeb</t>
        </is>
      </c>
      <c r="C307">
        <f>IF(OPEB!B66="","",OPEB!B66)</f>
        <v/>
      </c>
      <c r="D307" t="inlineStr">
        <is>
          <t>share</t>
        </is>
      </c>
      <c r="F307">
        <f>IF(OR(OPEB!B66="",OPEB!C66=""),"",OPEB!C66)</f>
        <v/>
      </c>
      <c r="G307">
        <f>IF(OPEB!B66="","","dm")</f>
        <v/>
      </c>
    </row>
    <row r="308">
      <c r="A308" t="inlineStr">
        <is>
          <t>country</t>
        </is>
      </c>
      <c r="B308" t="inlineStr">
        <is>
          <t>opeb</t>
        </is>
      </c>
      <c r="C308">
        <f>IF(OPEB!B67="","",OPEB!B67)</f>
        <v/>
      </c>
      <c r="D308" t="inlineStr">
        <is>
          <t>share</t>
        </is>
      </c>
      <c r="F308">
        <f>IF(OR(OPEB!B67="",OPEB!C67=""),"",OPEB!C67)</f>
        <v/>
      </c>
      <c r="G308">
        <f>IF(OPEB!B67="","","dm")</f>
        <v/>
      </c>
    </row>
    <row r="309">
      <c r="A309" t="inlineStr">
        <is>
          <t>country</t>
        </is>
      </c>
      <c r="B309" t="inlineStr">
        <is>
          <t>opeb</t>
        </is>
      </c>
      <c r="C309">
        <f>IF(OPEB!B69="","",OPEB!B69)</f>
        <v/>
      </c>
      <c r="D309" t="inlineStr">
        <is>
          <t>share</t>
        </is>
      </c>
      <c r="F309">
        <f>IF(OR(OPEB!B69="",OPEB!C69=""),"",OPEB!C69)</f>
        <v/>
      </c>
      <c r="G309">
        <f>IF(OPEB!B69="","","em")</f>
        <v/>
      </c>
    </row>
    <row r="310">
      <c r="A310" t="inlineStr">
        <is>
          <t>country</t>
        </is>
      </c>
      <c r="B310" t="inlineStr">
        <is>
          <t>opeb</t>
        </is>
      </c>
      <c r="C310">
        <f>IF(OPEB!B70="","",OPEB!B70)</f>
        <v/>
      </c>
      <c r="D310" t="inlineStr">
        <is>
          <t>share</t>
        </is>
      </c>
      <c r="F310">
        <f>IF(OR(OPEB!B70="",OPEB!C70=""),"",OPEB!C70)</f>
        <v/>
      </c>
      <c r="G310">
        <f>IF(OPEB!B70="","","em")</f>
        <v/>
      </c>
    </row>
    <row r="311">
      <c r="A311" t="inlineStr">
        <is>
          <t>country</t>
        </is>
      </c>
      <c r="B311" t="inlineStr">
        <is>
          <t>opeb</t>
        </is>
      </c>
      <c r="C311">
        <f>IF(OPEB!B71="","",OPEB!B71)</f>
        <v/>
      </c>
      <c r="D311" t="inlineStr">
        <is>
          <t>share</t>
        </is>
      </c>
      <c r="F311">
        <f>IF(OR(OPEB!B71="",OPEB!C71=""),"",OPEB!C71)</f>
        <v/>
      </c>
      <c r="G311">
        <f>IF(OPEB!B71="","","em")</f>
        <v/>
      </c>
    </row>
    <row r="312">
      <c r="A312" t="inlineStr">
        <is>
          <t>country</t>
        </is>
      </c>
      <c r="B312" t="inlineStr">
        <is>
          <t>opeb</t>
        </is>
      </c>
      <c r="C312">
        <f>IF(OPEB!B72="","",OPEB!B72)</f>
        <v/>
      </c>
      <c r="D312" t="inlineStr">
        <is>
          <t>share</t>
        </is>
      </c>
      <c r="F312">
        <f>IF(OR(OPEB!B72="",OPEB!C72=""),"",OPEB!C72)</f>
        <v/>
      </c>
      <c r="G312">
        <f>IF(OPEB!B72="","","em")</f>
        <v/>
      </c>
    </row>
    <row r="313">
      <c r="A313" t="inlineStr">
        <is>
          <t>country</t>
        </is>
      </c>
      <c r="B313" t="inlineStr">
        <is>
          <t>opeb</t>
        </is>
      </c>
      <c r="C313">
        <f>IF(OPEB!B73="","",OPEB!B73)</f>
        <v/>
      </c>
      <c r="D313" t="inlineStr">
        <is>
          <t>share</t>
        </is>
      </c>
      <c r="F313">
        <f>IF(OR(OPEB!B73="",OPEB!C73=""),"",OPEB!C73)</f>
        <v/>
      </c>
      <c r="G313">
        <f>IF(OPEB!B73="","","em")</f>
        <v/>
      </c>
    </row>
    <row r="314">
      <c r="A314" t="inlineStr">
        <is>
          <t>market</t>
        </is>
      </c>
      <c r="C314">
        <f>IF(Markets!B5="","",Markets!B5)</f>
        <v/>
      </c>
      <c r="D314" t="inlineStr">
        <is>
          <t>group</t>
        </is>
      </c>
      <c r="G314">
        <f>IF(Markets!B5="","",Markets!A5)</f>
        <v/>
      </c>
    </row>
    <row r="315">
      <c r="A315" t="inlineStr">
        <is>
          <t>market</t>
        </is>
      </c>
      <c r="C315">
        <f>IF(Markets!B5="","",Markets!B5)</f>
        <v/>
      </c>
      <c r="D315" t="inlineStr">
        <is>
          <t>description</t>
        </is>
      </c>
      <c r="G315">
        <f>IF(Markets!B5="","",Markets!C5)</f>
        <v/>
      </c>
    </row>
    <row r="316">
      <c r="A316" t="inlineStr">
        <is>
          <t>market</t>
        </is>
      </c>
      <c r="C316">
        <f>IF(Markets!B5="","",Markets!B5)</f>
        <v/>
      </c>
      <c r="D316" t="inlineStr">
        <is>
          <t>return</t>
        </is>
      </c>
      <c r="E316" t="inlineStr">
        <is>
          <t>1M</t>
        </is>
      </c>
      <c r="F316">
        <f>IF(OR(Markets!B5="",Markets!D5=""),"",Markets!D5)</f>
        <v/>
      </c>
    </row>
    <row r="317">
      <c r="A317" t="inlineStr">
        <is>
          <t>market</t>
        </is>
      </c>
      <c r="C317">
        <f>IF(Markets!B5="","",Markets!B5)</f>
        <v/>
      </c>
      <c r="D317" t="inlineStr">
        <is>
          <t>return</t>
        </is>
      </c>
      <c r="E317" t="inlineStr">
        <is>
          <t>3M</t>
        </is>
      </c>
      <c r="F317">
        <f>IF(OR(Markets!B5="",Markets!E5=""),"",Markets!E5)</f>
        <v/>
      </c>
    </row>
    <row r="318">
      <c r="A318" t="inlineStr">
        <is>
          <t>market</t>
        </is>
      </c>
      <c r="C318">
        <f>IF(Markets!B5="","",Markets!B5)</f>
        <v/>
      </c>
      <c r="D318" t="inlineStr">
        <is>
          <t>return</t>
        </is>
      </c>
      <c r="E318" t="inlineStr">
        <is>
          <t>FYTD</t>
        </is>
      </c>
      <c r="F318">
        <f>IF(OR(Markets!B5="",Markets!F5=""),"",Markets!F5)</f>
        <v/>
      </c>
    </row>
    <row r="319">
      <c r="A319" t="inlineStr">
        <is>
          <t>market</t>
        </is>
      </c>
      <c r="C319">
        <f>IF(Markets!B5="","",Markets!B5)</f>
        <v/>
      </c>
      <c r="D319" t="inlineStr">
        <is>
          <t>return</t>
        </is>
      </c>
      <c r="E319" t="inlineStr">
        <is>
          <t>YTD</t>
        </is>
      </c>
      <c r="F319">
        <f>IF(OR(Markets!B5="",Markets!G5=""),"",Markets!G5)</f>
        <v/>
      </c>
    </row>
    <row r="320">
      <c r="A320" t="inlineStr">
        <is>
          <t>market</t>
        </is>
      </c>
      <c r="C320">
        <f>IF(Markets!B5="","",Markets!B5)</f>
        <v/>
      </c>
      <c r="D320" t="inlineStr">
        <is>
          <t>return</t>
        </is>
      </c>
      <c r="E320" t="inlineStr">
        <is>
          <t>1Y</t>
        </is>
      </c>
      <c r="F320">
        <f>IF(OR(Markets!B5="",Markets!H5=""),"",Markets!H5)</f>
        <v/>
      </c>
    </row>
    <row r="321">
      <c r="A321" t="inlineStr">
        <is>
          <t>market</t>
        </is>
      </c>
      <c r="C321">
        <f>IF(Markets!B5="","",Markets!B5)</f>
        <v/>
      </c>
      <c r="D321" t="inlineStr">
        <is>
          <t>return</t>
        </is>
      </c>
      <c r="E321" t="inlineStr">
        <is>
          <t>3Y</t>
        </is>
      </c>
      <c r="F321">
        <f>IF(OR(Markets!B5="",Markets!I5=""),"",Markets!I5)</f>
        <v/>
      </c>
    </row>
    <row r="322">
      <c r="A322" t="inlineStr">
        <is>
          <t>market</t>
        </is>
      </c>
      <c r="C322">
        <f>IF(Markets!B5="","",Markets!B5)</f>
        <v/>
      </c>
      <c r="D322" t="inlineStr">
        <is>
          <t>return</t>
        </is>
      </c>
      <c r="E322" t="inlineStr">
        <is>
          <t>5Y</t>
        </is>
      </c>
      <c r="F322">
        <f>IF(OR(Markets!B5="",Markets!J5=""),"",Markets!J5)</f>
        <v/>
      </c>
    </row>
    <row r="323">
      <c r="A323" t="inlineStr">
        <is>
          <t>market</t>
        </is>
      </c>
      <c r="C323">
        <f>IF(Markets!B5="","",Markets!B5)</f>
        <v/>
      </c>
      <c r="D323" t="inlineStr">
        <is>
          <t>return</t>
        </is>
      </c>
      <c r="E323" t="inlineStr">
        <is>
          <t>10Y</t>
        </is>
      </c>
      <c r="F323">
        <f>IF(OR(Markets!B5="",Markets!K5=""),"",Markets!K5)</f>
        <v/>
      </c>
    </row>
    <row r="324">
      <c r="A324" t="inlineStr">
        <is>
          <t>market</t>
        </is>
      </c>
      <c r="C324">
        <f>IF(Markets!B6="","",Markets!B6)</f>
        <v/>
      </c>
      <c r="D324" t="inlineStr">
        <is>
          <t>group</t>
        </is>
      </c>
      <c r="G324">
        <f>IF(Markets!B6="","",Markets!A6)</f>
        <v/>
      </c>
    </row>
    <row r="325">
      <c r="A325" t="inlineStr">
        <is>
          <t>market</t>
        </is>
      </c>
      <c r="C325">
        <f>IF(Markets!B6="","",Markets!B6)</f>
        <v/>
      </c>
      <c r="D325" t="inlineStr">
        <is>
          <t>description</t>
        </is>
      </c>
      <c r="G325">
        <f>IF(Markets!B6="","",Markets!C6)</f>
        <v/>
      </c>
    </row>
    <row r="326">
      <c r="A326" t="inlineStr">
        <is>
          <t>market</t>
        </is>
      </c>
      <c r="C326">
        <f>IF(Markets!B6="","",Markets!B6)</f>
        <v/>
      </c>
      <c r="D326" t="inlineStr">
        <is>
          <t>return</t>
        </is>
      </c>
      <c r="E326" t="inlineStr">
        <is>
          <t>1M</t>
        </is>
      </c>
      <c r="F326">
        <f>IF(OR(Markets!B6="",Markets!D6=""),"",Markets!D6)</f>
        <v/>
      </c>
    </row>
    <row r="327">
      <c r="A327" t="inlineStr">
        <is>
          <t>market</t>
        </is>
      </c>
      <c r="C327">
        <f>IF(Markets!B6="","",Markets!B6)</f>
        <v/>
      </c>
      <c r="D327" t="inlineStr">
        <is>
          <t>return</t>
        </is>
      </c>
      <c r="E327" t="inlineStr">
        <is>
          <t>3M</t>
        </is>
      </c>
      <c r="F327">
        <f>IF(OR(Markets!B6="",Markets!E6=""),"",Markets!E6)</f>
        <v/>
      </c>
    </row>
    <row r="328">
      <c r="A328" t="inlineStr">
        <is>
          <t>market</t>
        </is>
      </c>
      <c r="C328">
        <f>IF(Markets!B6="","",Markets!B6)</f>
        <v/>
      </c>
      <c r="D328" t="inlineStr">
        <is>
          <t>return</t>
        </is>
      </c>
      <c r="E328" t="inlineStr">
        <is>
          <t>FYTD</t>
        </is>
      </c>
      <c r="F328">
        <f>IF(OR(Markets!B6="",Markets!F6=""),"",Markets!F6)</f>
        <v/>
      </c>
    </row>
    <row r="329">
      <c r="A329" t="inlineStr">
        <is>
          <t>market</t>
        </is>
      </c>
      <c r="C329">
        <f>IF(Markets!B6="","",Markets!B6)</f>
        <v/>
      </c>
      <c r="D329" t="inlineStr">
        <is>
          <t>return</t>
        </is>
      </c>
      <c r="E329" t="inlineStr">
        <is>
          <t>YTD</t>
        </is>
      </c>
      <c r="F329">
        <f>IF(OR(Markets!B6="",Markets!G6=""),"",Markets!G6)</f>
        <v/>
      </c>
    </row>
    <row r="330">
      <c r="A330" t="inlineStr">
        <is>
          <t>market</t>
        </is>
      </c>
      <c r="C330">
        <f>IF(Markets!B6="","",Markets!B6)</f>
        <v/>
      </c>
      <c r="D330" t="inlineStr">
        <is>
          <t>return</t>
        </is>
      </c>
      <c r="E330" t="inlineStr">
        <is>
          <t>1Y</t>
        </is>
      </c>
      <c r="F330">
        <f>IF(OR(Markets!B6="",Markets!H6=""),"",Markets!H6)</f>
        <v/>
      </c>
    </row>
    <row r="331">
      <c r="A331" t="inlineStr">
        <is>
          <t>market</t>
        </is>
      </c>
      <c r="C331">
        <f>IF(Markets!B6="","",Markets!B6)</f>
        <v/>
      </c>
      <c r="D331" t="inlineStr">
        <is>
          <t>return</t>
        </is>
      </c>
      <c r="E331" t="inlineStr">
        <is>
          <t>3Y</t>
        </is>
      </c>
      <c r="F331">
        <f>IF(OR(Markets!B6="",Markets!I6=""),"",Markets!I6)</f>
        <v/>
      </c>
    </row>
    <row r="332">
      <c r="A332" t="inlineStr">
        <is>
          <t>market</t>
        </is>
      </c>
      <c r="C332">
        <f>IF(Markets!B6="","",Markets!B6)</f>
        <v/>
      </c>
      <c r="D332" t="inlineStr">
        <is>
          <t>return</t>
        </is>
      </c>
      <c r="E332" t="inlineStr">
        <is>
          <t>5Y</t>
        </is>
      </c>
      <c r="F332">
        <f>IF(OR(Markets!B6="",Markets!J6=""),"",Markets!J6)</f>
        <v/>
      </c>
    </row>
    <row r="333">
      <c r="A333" t="inlineStr">
        <is>
          <t>market</t>
        </is>
      </c>
      <c r="C333">
        <f>IF(Markets!B6="","",Markets!B6)</f>
        <v/>
      </c>
      <c r="D333" t="inlineStr">
        <is>
          <t>return</t>
        </is>
      </c>
      <c r="E333" t="inlineStr">
        <is>
          <t>10Y</t>
        </is>
      </c>
      <c r="F333">
        <f>IF(OR(Markets!B6="",Markets!K6=""),"",Markets!K6)</f>
        <v/>
      </c>
    </row>
    <row r="334">
      <c r="A334" t="inlineStr">
        <is>
          <t>market</t>
        </is>
      </c>
      <c r="C334">
        <f>IF(Markets!B7="","",Markets!B7)</f>
        <v/>
      </c>
      <c r="D334" t="inlineStr">
        <is>
          <t>group</t>
        </is>
      </c>
      <c r="G334">
        <f>IF(Markets!B7="","",Markets!A7)</f>
        <v/>
      </c>
    </row>
    <row r="335">
      <c r="A335" t="inlineStr">
        <is>
          <t>market</t>
        </is>
      </c>
      <c r="C335">
        <f>IF(Markets!B7="","",Markets!B7)</f>
        <v/>
      </c>
      <c r="D335" t="inlineStr">
        <is>
          <t>description</t>
        </is>
      </c>
      <c r="G335">
        <f>IF(Markets!B7="","",Markets!C7)</f>
        <v/>
      </c>
    </row>
    <row r="336">
      <c r="A336" t="inlineStr">
        <is>
          <t>market</t>
        </is>
      </c>
      <c r="C336">
        <f>IF(Markets!B7="","",Markets!B7)</f>
        <v/>
      </c>
      <c r="D336" t="inlineStr">
        <is>
          <t>return</t>
        </is>
      </c>
      <c r="E336" t="inlineStr">
        <is>
          <t>1M</t>
        </is>
      </c>
      <c r="F336">
        <f>IF(OR(Markets!B7="",Markets!D7=""),"",Markets!D7)</f>
        <v/>
      </c>
    </row>
    <row r="337">
      <c r="A337" t="inlineStr">
        <is>
          <t>market</t>
        </is>
      </c>
      <c r="C337">
        <f>IF(Markets!B7="","",Markets!B7)</f>
        <v/>
      </c>
      <c r="D337" t="inlineStr">
        <is>
          <t>return</t>
        </is>
      </c>
      <c r="E337" t="inlineStr">
        <is>
          <t>3M</t>
        </is>
      </c>
      <c r="F337">
        <f>IF(OR(Markets!B7="",Markets!E7=""),"",Markets!E7)</f>
        <v/>
      </c>
    </row>
    <row r="338">
      <c r="A338" t="inlineStr">
        <is>
          <t>market</t>
        </is>
      </c>
      <c r="C338">
        <f>IF(Markets!B7="","",Markets!B7)</f>
        <v/>
      </c>
      <c r="D338" t="inlineStr">
        <is>
          <t>return</t>
        </is>
      </c>
      <c r="E338" t="inlineStr">
        <is>
          <t>FYTD</t>
        </is>
      </c>
      <c r="F338">
        <f>IF(OR(Markets!B7="",Markets!F7=""),"",Markets!F7)</f>
        <v/>
      </c>
    </row>
    <row r="339">
      <c r="A339" t="inlineStr">
        <is>
          <t>market</t>
        </is>
      </c>
      <c r="C339">
        <f>IF(Markets!B7="","",Markets!B7)</f>
        <v/>
      </c>
      <c r="D339" t="inlineStr">
        <is>
          <t>return</t>
        </is>
      </c>
      <c r="E339" t="inlineStr">
        <is>
          <t>YTD</t>
        </is>
      </c>
      <c r="F339">
        <f>IF(OR(Markets!B7="",Markets!G7=""),"",Markets!G7)</f>
        <v/>
      </c>
    </row>
    <row r="340">
      <c r="A340" t="inlineStr">
        <is>
          <t>market</t>
        </is>
      </c>
      <c r="C340">
        <f>IF(Markets!B7="","",Markets!B7)</f>
        <v/>
      </c>
      <c r="D340" t="inlineStr">
        <is>
          <t>return</t>
        </is>
      </c>
      <c r="E340" t="inlineStr">
        <is>
          <t>1Y</t>
        </is>
      </c>
      <c r="F340">
        <f>IF(OR(Markets!B7="",Markets!H7=""),"",Markets!H7)</f>
        <v/>
      </c>
    </row>
    <row r="341">
      <c r="A341" t="inlineStr">
        <is>
          <t>market</t>
        </is>
      </c>
      <c r="C341">
        <f>IF(Markets!B7="","",Markets!B7)</f>
        <v/>
      </c>
      <c r="D341" t="inlineStr">
        <is>
          <t>return</t>
        </is>
      </c>
      <c r="E341" t="inlineStr">
        <is>
          <t>3Y</t>
        </is>
      </c>
      <c r="F341">
        <f>IF(OR(Markets!B7="",Markets!I7=""),"",Markets!I7)</f>
        <v/>
      </c>
    </row>
    <row r="342">
      <c r="A342" t="inlineStr">
        <is>
          <t>market</t>
        </is>
      </c>
      <c r="C342">
        <f>IF(Markets!B7="","",Markets!B7)</f>
        <v/>
      </c>
      <c r="D342" t="inlineStr">
        <is>
          <t>return</t>
        </is>
      </c>
      <c r="E342" t="inlineStr">
        <is>
          <t>5Y</t>
        </is>
      </c>
      <c r="F342">
        <f>IF(OR(Markets!B7="",Markets!J7=""),"",Markets!J7)</f>
        <v/>
      </c>
    </row>
    <row r="343">
      <c r="A343" t="inlineStr">
        <is>
          <t>market</t>
        </is>
      </c>
      <c r="C343">
        <f>IF(Markets!B7="","",Markets!B7)</f>
        <v/>
      </c>
      <c r="D343" t="inlineStr">
        <is>
          <t>return</t>
        </is>
      </c>
      <c r="E343" t="inlineStr">
        <is>
          <t>10Y</t>
        </is>
      </c>
      <c r="F343">
        <f>IF(OR(Markets!B7="",Markets!K7=""),"",Markets!K7)</f>
        <v/>
      </c>
    </row>
    <row r="344">
      <c r="A344" t="inlineStr">
        <is>
          <t>market</t>
        </is>
      </c>
      <c r="C344">
        <f>IF(Markets!B8="","",Markets!B8)</f>
        <v/>
      </c>
      <c r="D344" t="inlineStr">
        <is>
          <t>group</t>
        </is>
      </c>
      <c r="G344">
        <f>IF(Markets!B8="","",Markets!A8)</f>
        <v/>
      </c>
    </row>
    <row r="345">
      <c r="A345" t="inlineStr">
        <is>
          <t>market</t>
        </is>
      </c>
      <c r="C345">
        <f>IF(Markets!B8="","",Markets!B8)</f>
        <v/>
      </c>
      <c r="D345" t="inlineStr">
        <is>
          <t>description</t>
        </is>
      </c>
      <c r="G345">
        <f>IF(Markets!B8="","",Markets!C8)</f>
        <v/>
      </c>
    </row>
    <row r="346">
      <c r="A346" t="inlineStr">
        <is>
          <t>market</t>
        </is>
      </c>
      <c r="C346">
        <f>IF(Markets!B8="","",Markets!B8)</f>
        <v/>
      </c>
      <c r="D346" t="inlineStr">
        <is>
          <t>return</t>
        </is>
      </c>
      <c r="E346" t="inlineStr">
        <is>
          <t>1M</t>
        </is>
      </c>
      <c r="F346">
        <f>IF(OR(Markets!B8="",Markets!D8=""),"",Markets!D8)</f>
        <v/>
      </c>
    </row>
    <row r="347">
      <c r="A347" t="inlineStr">
        <is>
          <t>market</t>
        </is>
      </c>
      <c r="C347">
        <f>IF(Markets!B8="","",Markets!B8)</f>
        <v/>
      </c>
      <c r="D347" t="inlineStr">
        <is>
          <t>return</t>
        </is>
      </c>
      <c r="E347" t="inlineStr">
        <is>
          <t>3M</t>
        </is>
      </c>
      <c r="F347">
        <f>IF(OR(Markets!B8="",Markets!E8=""),"",Markets!E8)</f>
        <v/>
      </c>
    </row>
    <row r="348">
      <c r="A348" t="inlineStr">
        <is>
          <t>market</t>
        </is>
      </c>
      <c r="C348">
        <f>IF(Markets!B8="","",Markets!B8)</f>
        <v/>
      </c>
      <c r="D348" t="inlineStr">
        <is>
          <t>return</t>
        </is>
      </c>
      <c r="E348" t="inlineStr">
        <is>
          <t>FYTD</t>
        </is>
      </c>
      <c r="F348">
        <f>IF(OR(Markets!B8="",Markets!F8=""),"",Markets!F8)</f>
        <v/>
      </c>
    </row>
    <row r="349">
      <c r="A349" t="inlineStr">
        <is>
          <t>market</t>
        </is>
      </c>
      <c r="C349">
        <f>IF(Markets!B8="","",Markets!B8)</f>
        <v/>
      </c>
      <c r="D349" t="inlineStr">
        <is>
          <t>return</t>
        </is>
      </c>
      <c r="E349" t="inlineStr">
        <is>
          <t>YTD</t>
        </is>
      </c>
      <c r="F349">
        <f>IF(OR(Markets!B8="",Markets!G8=""),"",Markets!G8)</f>
        <v/>
      </c>
    </row>
    <row r="350">
      <c r="A350" t="inlineStr">
        <is>
          <t>market</t>
        </is>
      </c>
      <c r="C350">
        <f>IF(Markets!B8="","",Markets!B8)</f>
        <v/>
      </c>
      <c r="D350" t="inlineStr">
        <is>
          <t>return</t>
        </is>
      </c>
      <c r="E350" t="inlineStr">
        <is>
          <t>1Y</t>
        </is>
      </c>
      <c r="F350">
        <f>IF(OR(Markets!B8="",Markets!H8=""),"",Markets!H8)</f>
        <v/>
      </c>
    </row>
    <row r="351">
      <c r="A351" t="inlineStr">
        <is>
          <t>market</t>
        </is>
      </c>
      <c r="C351">
        <f>IF(Markets!B8="","",Markets!B8)</f>
        <v/>
      </c>
      <c r="D351" t="inlineStr">
        <is>
          <t>return</t>
        </is>
      </c>
      <c r="E351" t="inlineStr">
        <is>
          <t>3Y</t>
        </is>
      </c>
      <c r="F351">
        <f>IF(OR(Markets!B8="",Markets!I8=""),"",Markets!I8)</f>
        <v/>
      </c>
    </row>
    <row r="352">
      <c r="A352" t="inlineStr">
        <is>
          <t>market</t>
        </is>
      </c>
      <c r="C352">
        <f>IF(Markets!B8="","",Markets!B8)</f>
        <v/>
      </c>
      <c r="D352" t="inlineStr">
        <is>
          <t>return</t>
        </is>
      </c>
      <c r="E352" t="inlineStr">
        <is>
          <t>5Y</t>
        </is>
      </c>
      <c r="F352">
        <f>IF(OR(Markets!B8="",Markets!J8=""),"",Markets!J8)</f>
        <v/>
      </c>
    </row>
    <row r="353">
      <c r="A353" t="inlineStr">
        <is>
          <t>market</t>
        </is>
      </c>
      <c r="C353">
        <f>IF(Markets!B8="","",Markets!B8)</f>
        <v/>
      </c>
      <c r="D353" t="inlineStr">
        <is>
          <t>return</t>
        </is>
      </c>
      <c r="E353" t="inlineStr">
        <is>
          <t>10Y</t>
        </is>
      </c>
      <c r="F353">
        <f>IF(OR(Markets!B8="",Markets!K8=""),"",Markets!K8)</f>
        <v/>
      </c>
    </row>
    <row r="354">
      <c r="A354" t="inlineStr">
        <is>
          <t>market</t>
        </is>
      </c>
      <c r="C354">
        <f>IF(Markets!B9="","",Markets!B9)</f>
        <v/>
      </c>
      <c r="D354" t="inlineStr">
        <is>
          <t>group</t>
        </is>
      </c>
      <c r="G354">
        <f>IF(Markets!B9="","",Markets!A9)</f>
        <v/>
      </c>
    </row>
    <row r="355">
      <c r="A355" t="inlineStr">
        <is>
          <t>market</t>
        </is>
      </c>
      <c r="C355">
        <f>IF(Markets!B9="","",Markets!B9)</f>
        <v/>
      </c>
      <c r="D355" t="inlineStr">
        <is>
          <t>description</t>
        </is>
      </c>
      <c r="G355">
        <f>IF(Markets!B9="","",Markets!C9)</f>
        <v/>
      </c>
    </row>
    <row r="356">
      <c r="A356" t="inlineStr">
        <is>
          <t>market</t>
        </is>
      </c>
      <c r="C356">
        <f>IF(Markets!B9="","",Markets!B9)</f>
        <v/>
      </c>
      <c r="D356" t="inlineStr">
        <is>
          <t>return</t>
        </is>
      </c>
      <c r="E356" t="inlineStr">
        <is>
          <t>1M</t>
        </is>
      </c>
      <c r="F356">
        <f>IF(OR(Markets!B9="",Markets!D9=""),"",Markets!D9)</f>
        <v/>
      </c>
    </row>
    <row r="357">
      <c r="A357" t="inlineStr">
        <is>
          <t>market</t>
        </is>
      </c>
      <c r="C357">
        <f>IF(Markets!B9="","",Markets!B9)</f>
        <v/>
      </c>
      <c r="D357" t="inlineStr">
        <is>
          <t>return</t>
        </is>
      </c>
      <c r="E357" t="inlineStr">
        <is>
          <t>3M</t>
        </is>
      </c>
      <c r="F357">
        <f>IF(OR(Markets!B9="",Markets!E9=""),"",Markets!E9)</f>
        <v/>
      </c>
    </row>
    <row r="358">
      <c r="A358" t="inlineStr">
        <is>
          <t>market</t>
        </is>
      </c>
      <c r="C358">
        <f>IF(Markets!B9="","",Markets!B9)</f>
        <v/>
      </c>
      <c r="D358" t="inlineStr">
        <is>
          <t>return</t>
        </is>
      </c>
      <c r="E358" t="inlineStr">
        <is>
          <t>FYTD</t>
        </is>
      </c>
      <c r="F358">
        <f>IF(OR(Markets!B9="",Markets!F9=""),"",Markets!F9)</f>
        <v/>
      </c>
    </row>
    <row r="359">
      <c r="A359" t="inlineStr">
        <is>
          <t>market</t>
        </is>
      </c>
      <c r="C359">
        <f>IF(Markets!B9="","",Markets!B9)</f>
        <v/>
      </c>
      <c r="D359" t="inlineStr">
        <is>
          <t>return</t>
        </is>
      </c>
      <c r="E359" t="inlineStr">
        <is>
          <t>YTD</t>
        </is>
      </c>
      <c r="F359">
        <f>IF(OR(Markets!B9="",Markets!G9=""),"",Markets!G9)</f>
        <v/>
      </c>
    </row>
    <row r="360">
      <c r="A360" t="inlineStr">
        <is>
          <t>market</t>
        </is>
      </c>
      <c r="C360">
        <f>IF(Markets!B9="","",Markets!B9)</f>
        <v/>
      </c>
      <c r="D360" t="inlineStr">
        <is>
          <t>return</t>
        </is>
      </c>
      <c r="E360" t="inlineStr">
        <is>
          <t>1Y</t>
        </is>
      </c>
      <c r="F360">
        <f>IF(OR(Markets!B9="",Markets!H9=""),"",Markets!H9)</f>
        <v/>
      </c>
    </row>
    <row r="361">
      <c r="A361" t="inlineStr">
        <is>
          <t>market</t>
        </is>
      </c>
      <c r="C361">
        <f>IF(Markets!B9="","",Markets!B9)</f>
        <v/>
      </c>
      <c r="D361" t="inlineStr">
        <is>
          <t>return</t>
        </is>
      </c>
      <c r="E361" t="inlineStr">
        <is>
          <t>3Y</t>
        </is>
      </c>
      <c r="F361">
        <f>IF(OR(Markets!B9="",Markets!I9=""),"",Markets!I9)</f>
        <v/>
      </c>
    </row>
    <row r="362">
      <c r="A362" t="inlineStr">
        <is>
          <t>market</t>
        </is>
      </c>
      <c r="C362">
        <f>IF(Markets!B9="","",Markets!B9)</f>
        <v/>
      </c>
      <c r="D362" t="inlineStr">
        <is>
          <t>return</t>
        </is>
      </c>
      <c r="E362" t="inlineStr">
        <is>
          <t>5Y</t>
        </is>
      </c>
      <c r="F362">
        <f>IF(OR(Markets!B9="",Markets!J9=""),"",Markets!J9)</f>
        <v/>
      </c>
    </row>
    <row r="363">
      <c r="A363" t="inlineStr">
        <is>
          <t>market</t>
        </is>
      </c>
      <c r="C363">
        <f>IF(Markets!B9="","",Markets!B9)</f>
        <v/>
      </c>
      <c r="D363" t="inlineStr">
        <is>
          <t>return</t>
        </is>
      </c>
      <c r="E363" t="inlineStr">
        <is>
          <t>10Y</t>
        </is>
      </c>
      <c r="F363">
        <f>IF(OR(Markets!B9="",Markets!K9=""),"",Markets!K9)</f>
        <v/>
      </c>
    </row>
    <row r="364">
      <c r="A364" t="inlineStr">
        <is>
          <t>market</t>
        </is>
      </c>
      <c r="C364">
        <f>IF(Markets!B10="","",Markets!B10)</f>
        <v/>
      </c>
      <c r="D364" t="inlineStr">
        <is>
          <t>group</t>
        </is>
      </c>
      <c r="G364">
        <f>IF(Markets!B10="","",Markets!A10)</f>
        <v/>
      </c>
    </row>
    <row r="365">
      <c r="A365" t="inlineStr">
        <is>
          <t>market</t>
        </is>
      </c>
      <c r="C365">
        <f>IF(Markets!B10="","",Markets!B10)</f>
        <v/>
      </c>
      <c r="D365" t="inlineStr">
        <is>
          <t>description</t>
        </is>
      </c>
      <c r="G365">
        <f>IF(Markets!B10="","",Markets!C10)</f>
        <v/>
      </c>
    </row>
    <row r="366">
      <c r="A366" t="inlineStr">
        <is>
          <t>market</t>
        </is>
      </c>
      <c r="C366">
        <f>IF(Markets!B10="","",Markets!B10)</f>
        <v/>
      </c>
      <c r="D366" t="inlineStr">
        <is>
          <t>return</t>
        </is>
      </c>
      <c r="E366" t="inlineStr">
        <is>
          <t>1M</t>
        </is>
      </c>
      <c r="F366">
        <f>IF(OR(Markets!B10="",Markets!D10=""),"",Markets!D10)</f>
        <v/>
      </c>
    </row>
    <row r="367">
      <c r="A367" t="inlineStr">
        <is>
          <t>market</t>
        </is>
      </c>
      <c r="C367">
        <f>IF(Markets!B10="","",Markets!B10)</f>
        <v/>
      </c>
      <c r="D367" t="inlineStr">
        <is>
          <t>return</t>
        </is>
      </c>
      <c r="E367" t="inlineStr">
        <is>
          <t>3M</t>
        </is>
      </c>
      <c r="F367">
        <f>IF(OR(Markets!B10="",Markets!E10=""),"",Markets!E10)</f>
        <v/>
      </c>
    </row>
    <row r="368">
      <c r="A368" t="inlineStr">
        <is>
          <t>market</t>
        </is>
      </c>
      <c r="C368">
        <f>IF(Markets!B10="","",Markets!B10)</f>
        <v/>
      </c>
      <c r="D368" t="inlineStr">
        <is>
          <t>return</t>
        </is>
      </c>
      <c r="E368" t="inlineStr">
        <is>
          <t>FYTD</t>
        </is>
      </c>
      <c r="F368">
        <f>IF(OR(Markets!B10="",Markets!F10=""),"",Markets!F10)</f>
        <v/>
      </c>
    </row>
    <row r="369">
      <c r="A369" t="inlineStr">
        <is>
          <t>market</t>
        </is>
      </c>
      <c r="C369">
        <f>IF(Markets!B10="","",Markets!B10)</f>
        <v/>
      </c>
      <c r="D369" t="inlineStr">
        <is>
          <t>return</t>
        </is>
      </c>
      <c r="E369" t="inlineStr">
        <is>
          <t>YTD</t>
        </is>
      </c>
      <c r="F369">
        <f>IF(OR(Markets!B10="",Markets!G10=""),"",Markets!G10)</f>
        <v/>
      </c>
    </row>
    <row r="370">
      <c r="A370" t="inlineStr">
        <is>
          <t>market</t>
        </is>
      </c>
      <c r="C370">
        <f>IF(Markets!B10="","",Markets!B10)</f>
        <v/>
      </c>
      <c r="D370" t="inlineStr">
        <is>
          <t>return</t>
        </is>
      </c>
      <c r="E370" t="inlineStr">
        <is>
          <t>1Y</t>
        </is>
      </c>
      <c r="F370">
        <f>IF(OR(Markets!B10="",Markets!H10=""),"",Markets!H10)</f>
        <v/>
      </c>
    </row>
    <row r="371">
      <c r="A371" t="inlineStr">
        <is>
          <t>market</t>
        </is>
      </c>
      <c r="C371">
        <f>IF(Markets!B10="","",Markets!B10)</f>
        <v/>
      </c>
      <c r="D371" t="inlineStr">
        <is>
          <t>return</t>
        </is>
      </c>
      <c r="E371" t="inlineStr">
        <is>
          <t>3Y</t>
        </is>
      </c>
      <c r="F371">
        <f>IF(OR(Markets!B10="",Markets!I10=""),"",Markets!I10)</f>
        <v/>
      </c>
    </row>
    <row r="372">
      <c r="A372" t="inlineStr">
        <is>
          <t>market</t>
        </is>
      </c>
      <c r="C372">
        <f>IF(Markets!B10="","",Markets!B10)</f>
        <v/>
      </c>
      <c r="D372" t="inlineStr">
        <is>
          <t>return</t>
        </is>
      </c>
      <c r="E372" t="inlineStr">
        <is>
          <t>5Y</t>
        </is>
      </c>
      <c r="F372">
        <f>IF(OR(Markets!B10="",Markets!J10=""),"",Markets!J10)</f>
        <v/>
      </c>
    </row>
    <row r="373">
      <c r="A373" t="inlineStr">
        <is>
          <t>market</t>
        </is>
      </c>
      <c r="C373">
        <f>IF(Markets!B10="","",Markets!B10)</f>
        <v/>
      </c>
      <c r="D373" t="inlineStr">
        <is>
          <t>return</t>
        </is>
      </c>
      <c r="E373" t="inlineStr">
        <is>
          <t>10Y</t>
        </is>
      </c>
      <c r="F373">
        <f>IF(OR(Markets!B10="",Markets!K10=""),"",Markets!K10)</f>
        <v/>
      </c>
    </row>
    <row r="374">
      <c r="A374" t="inlineStr">
        <is>
          <t>market</t>
        </is>
      </c>
      <c r="C374">
        <f>IF(Markets!B11="","",Markets!B11)</f>
        <v/>
      </c>
      <c r="D374" t="inlineStr">
        <is>
          <t>group</t>
        </is>
      </c>
      <c r="G374">
        <f>IF(Markets!B11="","",Markets!A11)</f>
        <v/>
      </c>
    </row>
    <row r="375">
      <c r="A375" t="inlineStr">
        <is>
          <t>market</t>
        </is>
      </c>
      <c r="C375">
        <f>IF(Markets!B11="","",Markets!B11)</f>
        <v/>
      </c>
      <c r="D375" t="inlineStr">
        <is>
          <t>description</t>
        </is>
      </c>
      <c r="G375">
        <f>IF(Markets!B11="","",Markets!C11)</f>
        <v/>
      </c>
    </row>
    <row r="376">
      <c r="A376" t="inlineStr">
        <is>
          <t>market</t>
        </is>
      </c>
      <c r="C376">
        <f>IF(Markets!B11="","",Markets!B11)</f>
        <v/>
      </c>
      <c r="D376" t="inlineStr">
        <is>
          <t>return</t>
        </is>
      </c>
      <c r="E376" t="inlineStr">
        <is>
          <t>1M</t>
        </is>
      </c>
      <c r="F376">
        <f>IF(OR(Markets!B11="",Markets!D11=""),"",Markets!D11)</f>
        <v/>
      </c>
    </row>
    <row r="377">
      <c r="A377" t="inlineStr">
        <is>
          <t>market</t>
        </is>
      </c>
      <c r="C377">
        <f>IF(Markets!B11="","",Markets!B11)</f>
        <v/>
      </c>
      <c r="D377" t="inlineStr">
        <is>
          <t>return</t>
        </is>
      </c>
      <c r="E377" t="inlineStr">
        <is>
          <t>3M</t>
        </is>
      </c>
      <c r="F377">
        <f>IF(OR(Markets!B11="",Markets!E11=""),"",Markets!E11)</f>
        <v/>
      </c>
    </row>
    <row r="378">
      <c r="A378" t="inlineStr">
        <is>
          <t>market</t>
        </is>
      </c>
      <c r="C378">
        <f>IF(Markets!B11="","",Markets!B11)</f>
        <v/>
      </c>
      <c r="D378" t="inlineStr">
        <is>
          <t>return</t>
        </is>
      </c>
      <c r="E378" t="inlineStr">
        <is>
          <t>FYTD</t>
        </is>
      </c>
      <c r="F378">
        <f>IF(OR(Markets!B11="",Markets!F11=""),"",Markets!F11)</f>
        <v/>
      </c>
    </row>
    <row r="379">
      <c r="A379" t="inlineStr">
        <is>
          <t>market</t>
        </is>
      </c>
      <c r="C379">
        <f>IF(Markets!B11="","",Markets!B11)</f>
        <v/>
      </c>
      <c r="D379" t="inlineStr">
        <is>
          <t>return</t>
        </is>
      </c>
      <c r="E379" t="inlineStr">
        <is>
          <t>YTD</t>
        </is>
      </c>
      <c r="F379">
        <f>IF(OR(Markets!B11="",Markets!G11=""),"",Markets!G11)</f>
        <v/>
      </c>
    </row>
    <row r="380">
      <c r="A380" t="inlineStr">
        <is>
          <t>market</t>
        </is>
      </c>
      <c r="C380">
        <f>IF(Markets!B11="","",Markets!B11)</f>
        <v/>
      </c>
      <c r="D380" t="inlineStr">
        <is>
          <t>return</t>
        </is>
      </c>
      <c r="E380" t="inlineStr">
        <is>
          <t>1Y</t>
        </is>
      </c>
      <c r="F380">
        <f>IF(OR(Markets!B11="",Markets!H11=""),"",Markets!H11)</f>
        <v/>
      </c>
    </row>
    <row r="381">
      <c r="A381" t="inlineStr">
        <is>
          <t>market</t>
        </is>
      </c>
      <c r="C381">
        <f>IF(Markets!B11="","",Markets!B11)</f>
        <v/>
      </c>
      <c r="D381" t="inlineStr">
        <is>
          <t>return</t>
        </is>
      </c>
      <c r="E381" t="inlineStr">
        <is>
          <t>3Y</t>
        </is>
      </c>
      <c r="F381">
        <f>IF(OR(Markets!B11="",Markets!I11=""),"",Markets!I11)</f>
        <v/>
      </c>
    </row>
    <row r="382">
      <c r="A382" t="inlineStr">
        <is>
          <t>market</t>
        </is>
      </c>
      <c r="C382">
        <f>IF(Markets!B11="","",Markets!B11)</f>
        <v/>
      </c>
      <c r="D382" t="inlineStr">
        <is>
          <t>return</t>
        </is>
      </c>
      <c r="E382" t="inlineStr">
        <is>
          <t>5Y</t>
        </is>
      </c>
      <c r="F382">
        <f>IF(OR(Markets!B11="",Markets!J11=""),"",Markets!J11)</f>
        <v/>
      </c>
    </row>
    <row r="383">
      <c r="A383" t="inlineStr">
        <is>
          <t>market</t>
        </is>
      </c>
      <c r="C383">
        <f>IF(Markets!B11="","",Markets!B11)</f>
        <v/>
      </c>
      <c r="D383" t="inlineStr">
        <is>
          <t>return</t>
        </is>
      </c>
      <c r="E383" t="inlineStr">
        <is>
          <t>10Y</t>
        </is>
      </c>
      <c r="F383">
        <f>IF(OR(Markets!B11="",Markets!K11=""),"",Markets!K11)</f>
        <v/>
      </c>
    </row>
    <row r="384">
      <c r="A384" t="inlineStr">
        <is>
          <t>market</t>
        </is>
      </c>
      <c r="C384">
        <f>IF(Markets!B12="","",Markets!B12)</f>
        <v/>
      </c>
      <c r="D384" t="inlineStr">
        <is>
          <t>group</t>
        </is>
      </c>
      <c r="G384">
        <f>IF(Markets!B12="","",Markets!A12)</f>
        <v/>
      </c>
    </row>
    <row r="385">
      <c r="A385" t="inlineStr">
        <is>
          <t>market</t>
        </is>
      </c>
      <c r="C385">
        <f>IF(Markets!B12="","",Markets!B12)</f>
        <v/>
      </c>
      <c r="D385" t="inlineStr">
        <is>
          <t>description</t>
        </is>
      </c>
      <c r="G385">
        <f>IF(Markets!B12="","",Markets!C12)</f>
        <v/>
      </c>
    </row>
    <row r="386">
      <c r="A386" t="inlineStr">
        <is>
          <t>market</t>
        </is>
      </c>
      <c r="C386">
        <f>IF(Markets!B12="","",Markets!B12)</f>
        <v/>
      </c>
      <c r="D386" t="inlineStr">
        <is>
          <t>return</t>
        </is>
      </c>
      <c r="E386" t="inlineStr">
        <is>
          <t>1M</t>
        </is>
      </c>
      <c r="F386">
        <f>IF(OR(Markets!B12="",Markets!D12=""),"",Markets!D12)</f>
        <v/>
      </c>
    </row>
    <row r="387">
      <c r="A387" t="inlineStr">
        <is>
          <t>market</t>
        </is>
      </c>
      <c r="C387">
        <f>IF(Markets!B12="","",Markets!B12)</f>
        <v/>
      </c>
      <c r="D387" t="inlineStr">
        <is>
          <t>return</t>
        </is>
      </c>
      <c r="E387" t="inlineStr">
        <is>
          <t>3M</t>
        </is>
      </c>
      <c r="F387">
        <f>IF(OR(Markets!B12="",Markets!E12=""),"",Markets!E12)</f>
        <v/>
      </c>
    </row>
    <row r="388">
      <c r="A388" t="inlineStr">
        <is>
          <t>market</t>
        </is>
      </c>
      <c r="C388">
        <f>IF(Markets!B12="","",Markets!B12)</f>
        <v/>
      </c>
      <c r="D388" t="inlineStr">
        <is>
          <t>return</t>
        </is>
      </c>
      <c r="E388" t="inlineStr">
        <is>
          <t>FYTD</t>
        </is>
      </c>
      <c r="F388">
        <f>IF(OR(Markets!B12="",Markets!F12=""),"",Markets!F12)</f>
        <v/>
      </c>
    </row>
    <row r="389">
      <c r="A389" t="inlineStr">
        <is>
          <t>market</t>
        </is>
      </c>
      <c r="C389">
        <f>IF(Markets!B12="","",Markets!B12)</f>
        <v/>
      </c>
      <c r="D389" t="inlineStr">
        <is>
          <t>return</t>
        </is>
      </c>
      <c r="E389" t="inlineStr">
        <is>
          <t>YTD</t>
        </is>
      </c>
      <c r="F389">
        <f>IF(OR(Markets!B12="",Markets!G12=""),"",Markets!G12)</f>
        <v/>
      </c>
    </row>
    <row r="390">
      <c r="A390" t="inlineStr">
        <is>
          <t>market</t>
        </is>
      </c>
      <c r="C390">
        <f>IF(Markets!B12="","",Markets!B12)</f>
        <v/>
      </c>
      <c r="D390" t="inlineStr">
        <is>
          <t>return</t>
        </is>
      </c>
      <c r="E390" t="inlineStr">
        <is>
          <t>1Y</t>
        </is>
      </c>
      <c r="F390">
        <f>IF(OR(Markets!B12="",Markets!H12=""),"",Markets!H12)</f>
        <v/>
      </c>
    </row>
    <row r="391">
      <c r="A391" t="inlineStr">
        <is>
          <t>market</t>
        </is>
      </c>
      <c r="C391">
        <f>IF(Markets!B12="","",Markets!B12)</f>
        <v/>
      </c>
      <c r="D391" t="inlineStr">
        <is>
          <t>return</t>
        </is>
      </c>
      <c r="E391" t="inlineStr">
        <is>
          <t>3Y</t>
        </is>
      </c>
      <c r="F391">
        <f>IF(OR(Markets!B12="",Markets!I12=""),"",Markets!I12)</f>
        <v/>
      </c>
    </row>
    <row r="392">
      <c r="A392" t="inlineStr">
        <is>
          <t>market</t>
        </is>
      </c>
      <c r="C392">
        <f>IF(Markets!B12="","",Markets!B12)</f>
        <v/>
      </c>
      <c r="D392" t="inlineStr">
        <is>
          <t>return</t>
        </is>
      </c>
      <c r="E392" t="inlineStr">
        <is>
          <t>5Y</t>
        </is>
      </c>
      <c r="F392">
        <f>IF(OR(Markets!B12="",Markets!J12=""),"",Markets!J12)</f>
        <v/>
      </c>
    </row>
    <row r="393">
      <c r="A393" t="inlineStr">
        <is>
          <t>market</t>
        </is>
      </c>
      <c r="C393">
        <f>IF(Markets!B12="","",Markets!B12)</f>
        <v/>
      </c>
      <c r="D393" t="inlineStr">
        <is>
          <t>return</t>
        </is>
      </c>
      <c r="E393" t="inlineStr">
        <is>
          <t>10Y</t>
        </is>
      </c>
      <c r="F393">
        <f>IF(OR(Markets!B12="",Markets!K12=""),"",Markets!K12)</f>
        <v/>
      </c>
    </row>
    <row r="394">
      <c r="A394" t="inlineStr">
        <is>
          <t>market</t>
        </is>
      </c>
      <c r="C394">
        <f>IF(Markets!B13="","",Markets!B13)</f>
        <v/>
      </c>
      <c r="D394" t="inlineStr">
        <is>
          <t>group</t>
        </is>
      </c>
      <c r="G394">
        <f>IF(Markets!B13="","",Markets!A13)</f>
        <v/>
      </c>
    </row>
    <row r="395">
      <c r="A395" t="inlineStr">
        <is>
          <t>market</t>
        </is>
      </c>
      <c r="C395">
        <f>IF(Markets!B13="","",Markets!B13)</f>
        <v/>
      </c>
      <c r="D395" t="inlineStr">
        <is>
          <t>description</t>
        </is>
      </c>
      <c r="G395">
        <f>IF(Markets!B13="","",Markets!C13)</f>
        <v/>
      </c>
    </row>
    <row r="396">
      <c r="A396" t="inlineStr">
        <is>
          <t>market</t>
        </is>
      </c>
      <c r="C396">
        <f>IF(Markets!B13="","",Markets!B13)</f>
        <v/>
      </c>
      <c r="D396" t="inlineStr">
        <is>
          <t>return</t>
        </is>
      </c>
      <c r="E396" t="inlineStr">
        <is>
          <t>1M</t>
        </is>
      </c>
      <c r="F396">
        <f>IF(OR(Markets!B13="",Markets!D13=""),"",Markets!D13)</f>
        <v/>
      </c>
    </row>
    <row r="397">
      <c r="A397" t="inlineStr">
        <is>
          <t>market</t>
        </is>
      </c>
      <c r="C397">
        <f>IF(Markets!B13="","",Markets!B13)</f>
        <v/>
      </c>
      <c r="D397" t="inlineStr">
        <is>
          <t>return</t>
        </is>
      </c>
      <c r="E397" t="inlineStr">
        <is>
          <t>3M</t>
        </is>
      </c>
      <c r="F397">
        <f>IF(OR(Markets!B13="",Markets!E13=""),"",Markets!E13)</f>
        <v/>
      </c>
    </row>
    <row r="398">
      <c r="A398" t="inlineStr">
        <is>
          <t>market</t>
        </is>
      </c>
      <c r="C398">
        <f>IF(Markets!B13="","",Markets!B13)</f>
        <v/>
      </c>
      <c r="D398" t="inlineStr">
        <is>
          <t>return</t>
        </is>
      </c>
      <c r="E398" t="inlineStr">
        <is>
          <t>FYTD</t>
        </is>
      </c>
      <c r="F398">
        <f>IF(OR(Markets!B13="",Markets!F13=""),"",Markets!F13)</f>
        <v/>
      </c>
    </row>
    <row r="399">
      <c r="A399" t="inlineStr">
        <is>
          <t>market</t>
        </is>
      </c>
      <c r="C399">
        <f>IF(Markets!B13="","",Markets!B13)</f>
        <v/>
      </c>
      <c r="D399" t="inlineStr">
        <is>
          <t>return</t>
        </is>
      </c>
      <c r="E399" t="inlineStr">
        <is>
          <t>YTD</t>
        </is>
      </c>
      <c r="F399">
        <f>IF(OR(Markets!B13="",Markets!G13=""),"",Markets!G13)</f>
        <v/>
      </c>
    </row>
    <row r="400">
      <c r="A400" t="inlineStr">
        <is>
          <t>market</t>
        </is>
      </c>
      <c r="C400">
        <f>IF(Markets!B13="","",Markets!B13)</f>
        <v/>
      </c>
      <c r="D400" t="inlineStr">
        <is>
          <t>return</t>
        </is>
      </c>
      <c r="E400" t="inlineStr">
        <is>
          <t>1Y</t>
        </is>
      </c>
      <c r="F400">
        <f>IF(OR(Markets!B13="",Markets!H13=""),"",Markets!H13)</f>
        <v/>
      </c>
    </row>
    <row r="401">
      <c r="A401" t="inlineStr">
        <is>
          <t>market</t>
        </is>
      </c>
      <c r="C401">
        <f>IF(Markets!B13="","",Markets!B13)</f>
        <v/>
      </c>
      <c r="D401" t="inlineStr">
        <is>
          <t>return</t>
        </is>
      </c>
      <c r="E401" t="inlineStr">
        <is>
          <t>3Y</t>
        </is>
      </c>
      <c r="F401">
        <f>IF(OR(Markets!B13="",Markets!I13=""),"",Markets!I13)</f>
        <v/>
      </c>
    </row>
    <row r="402">
      <c r="A402" t="inlineStr">
        <is>
          <t>market</t>
        </is>
      </c>
      <c r="C402">
        <f>IF(Markets!B13="","",Markets!B13)</f>
        <v/>
      </c>
      <c r="D402" t="inlineStr">
        <is>
          <t>return</t>
        </is>
      </c>
      <c r="E402" t="inlineStr">
        <is>
          <t>5Y</t>
        </is>
      </c>
      <c r="F402">
        <f>IF(OR(Markets!B13="",Markets!J13=""),"",Markets!J13)</f>
        <v/>
      </c>
    </row>
    <row r="403">
      <c r="A403" t="inlineStr">
        <is>
          <t>market</t>
        </is>
      </c>
      <c r="C403">
        <f>IF(Markets!B13="","",Markets!B13)</f>
        <v/>
      </c>
      <c r="D403" t="inlineStr">
        <is>
          <t>return</t>
        </is>
      </c>
      <c r="E403" t="inlineStr">
        <is>
          <t>10Y</t>
        </is>
      </c>
      <c r="F403">
        <f>IF(OR(Markets!B13="",Markets!K13=""),"",Markets!K13)</f>
        <v/>
      </c>
    </row>
    <row r="404">
      <c r="A404" t="inlineStr">
        <is>
          <t>market</t>
        </is>
      </c>
      <c r="C404">
        <f>IF(Markets!B14="","",Markets!B14)</f>
        <v/>
      </c>
      <c r="D404" t="inlineStr">
        <is>
          <t>group</t>
        </is>
      </c>
      <c r="G404">
        <f>IF(Markets!B14="","",Markets!A14)</f>
        <v/>
      </c>
    </row>
    <row r="405">
      <c r="A405" t="inlineStr">
        <is>
          <t>market</t>
        </is>
      </c>
      <c r="C405">
        <f>IF(Markets!B14="","",Markets!B14)</f>
        <v/>
      </c>
      <c r="D405" t="inlineStr">
        <is>
          <t>description</t>
        </is>
      </c>
      <c r="G405">
        <f>IF(Markets!B14="","",Markets!C14)</f>
        <v/>
      </c>
    </row>
    <row r="406">
      <c r="A406" t="inlineStr">
        <is>
          <t>market</t>
        </is>
      </c>
      <c r="C406">
        <f>IF(Markets!B14="","",Markets!B14)</f>
        <v/>
      </c>
      <c r="D406" t="inlineStr">
        <is>
          <t>return</t>
        </is>
      </c>
      <c r="E406" t="inlineStr">
        <is>
          <t>1M</t>
        </is>
      </c>
      <c r="F406">
        <f>IF(OR(Markets!B14="",Markets!D14=""),"",Markets!D14)</f>
        <v/>
      </c>
    </row>
    <row r="407">
      <c r="A407" t="inlineStr">
        <is>
          <t>market</t>
        </is>
      </c>
      <c r="C407">
        <f>IF(Markets!B14="","",Markets!B14)</f>
        <v/>
      </c>
      <c r="D407" t="inlineStr">
        <is>
          <t>return</t>
        </is>
      </c>
      <c r="E407" t="inlineStr">
        <is>
          <t>3M</t>
        </is>
      </c>
      <c r="F407">
        <f>IF(OR(Markets!B14="",Markets!E14=""),"",Markets!E14)</f>
        <v/>
      </c>
    </row>
    <row r="408">
      <c r="A408" t="inlineStr">
        <is>
          <t>market</t>
        </is>
      </c>
      <c r="C408">
        <f>IF(Markets!B14="","",Markets!B14)</f>
        <v/>
      </c>
      <c r="D408" t="inlineStr">
        <is>
          <t>return</t>
        </is>
      </c>
      <c r="E408" t="inlineStr">
        <is>
          <t>FYTD</t>
        </is>
      </c>
      <c r="F408">
        <f>IF(OR(Markets!B14="",Markets!F14=""),"",Markets!F14)</f>
        <v/>
      </c>
    </row>
    <row r="409">
      <c r="A409" t="inlineStr">
        <is>
          <t>market</t>
        </is>
      </c>
      <c r="C409">
        <f>IF(Markets!B14="","",Markets!B14)</f>
        <v/>
      </c>
      <c r="D409" t="inlineStr">
        <is>
          <t>return</t>
        </is>
      </c>
      <c r="E409" t="inlineStr">
        <is>
          <t>YTD</t>
        </is>
      </c>
      <c r="F409">
        <f>IF(OR(Markets!B14="",Markets!G14=""),"",Markets!G14)</f>
        <v/>
      </c>
    </row>
    <row r="410">
      <c r="A410" t="inlineStr">
        <is>
          <t>market</t>
        </is>
      </c>
      <c r="C410">
        <f>IF(Markets!B14="","",Markets!B14)</f>
        <v/>
      </c>
      <c r="D410" t="inlineStr">
        <is>
          <t>return</t>
        </is>
      </c>
      <c r="E410" t="inlineStr">
        <is>
          <t>1Y</t>
        </is>
      </c>
      <c r="F410">
        <f>IF(OR(Markets!B14="",Markets!H14=""),"",Markets!H14)</f>
        <v/>
      </c>
    </row>
    <row r="411">
      <c r="A411" t="inlineStr">
        <is>
          <t>market</t>
        </is>
      </c>
      <c r="C411">
        <f>IF(Markets!B14="","",Markets!B14)</f>
        <v/>
      </c>
      <c r="D411" t="inlineStr">
        <is>
          <t>return</t>
        </is>
      </c>
      <c r="E411" t="inlineStr">
        <is>
          <t>3Y</t>
        </is>
      </c>
      <c r="F411">
        <f>IF(OR(Markets!B14="",Markets!I14=""),"",Markets!I14)</f>
        <v/>
      </c>
    </row>
    <row r="412">
      <c r="A412" t="inlineStr">
        <is>
          <t>market</t>
        </is>
      </c>
      <c r="C412">
        <f>IF(Markets!B14="","",Markets!B14)</f>
        <v/>
      </c>
      <c r="D412" t="inlineStr">
        <is>
          <t>return</t>
        </is>
      </c>
      <c r="E412" t="inlineStr">
        <is>
          <t>5Y</t>
        </is>
      </c>
      <c r="F412">
        <f>IF(OR(Markets!B14="",Markets!J14=""),"",Markets!J14)</f>
        <v/>
      </c>
    </row>
    <row r="413">
      <c r="A413" t="inlineStr">
        <is>
          <t>market</t>
        </is>
      </c>
      <c r="C413">
        <f>IF(Markets!B14="","",Markets!B14)</f>
        <v/>
      </c>
      <c r="D413" t="inlineStr">
        <is>
          <t>return</t>
        </is>
      </c>
      <c r="E413" t="inlineStr">
        <is>
          <t>10Y</t>
        </is>
      </c>
      <c r="F413">
        <f>IF(OR(Markets!B14="",Markets!K14=""),"",Markets!K14)</f>
        <v/>
      </c>
    </row>
    <row r="414">
      <c r="A414" t="inlineStr">
        <is>
          <t>market</t>
        </is>
      </c>
      <c r="C414">
        <f>IF(Markets!B15="","",Markets!B15)</f>
        <v/>
      </c>
      <c r="D414" t="inlineStr">
        <is>
          <t>group</t>
        </is>
      </c>
      <c r="G414">
        <f>IF(Markets!B15="","",Markets!A15)</f>
        <v/>
      </c>
    </row>
    <row r="415">
      <c r="A415" t="inlineStr">
        <is>
          <t>market</t>
        </is>
      </c>
      <c r="C415">
        <f>IF(Markets!B15="","",Markets!B15)</f>
        <v/>
      </c>
      <c r="D415" t="inlineStr">
        <is>
          <t>description</t>
        </is>
      </c>
      <c r="G415">
        <f>IF(Markets!B15="","",Markets!C15)</f>
        <v/>
      </c>
    </row>
    <row r="416">
      <c r="A416" t="inlineStr">
        <is>
          <t>market</t>
        </is>
      </c>
      <c r="C416">
        <f>IF(Markets!B15="","",Markets!B15)</f>
        <v/>
      </c>
      <c r="D416" t="inlineStr">
        <is>
          <t>return</t>
        </is>
      </c>
      <c r="E416" t="inlineStr">
        <is>
          <t>1M</t>
        </is>
      </c>
      <c r="F416">
        <f>IF(OR(Markets!B15="",Markets!D15=""),"",Markets!D15)</f>
        <v/>
      </c>
    </row>
    <row r="417">
      <c r="A417" t="inlineStr">
        <is>
          <t>market</t>
        </is>
      </c>
      <c r="C417">
        <f>IF(Markets!B15="","",Markets!B15)</f>
        <v/>
      </c>
      <c r="D417" t="inlineStr">
        <is>
          <t>return</t>
        </is>
      </c>
      <c r="E417" t="inlineStr">
        <is>
          <t>3M</t>
        </is>
      </c>
      <c r="F417">
        <f>IF(OR(Markets!B15="",Markets!E15=""),"",Markets!E15)</f>
        <v/>
      </c>
    </row>
    <row r="418">
      <c r="A418" t="inlineStr">
        <is>
          <t>market</t>
        </is>
      </c>
      <c r="C418">
        <f>IF(Markets!B15="","",Markets!B15)</f>
        <v/>
      </c>
      <c r="D418" t="inlineStr">
        <is>
          <t>return</t>
        </is>
      </c>
      <c r="E418" t="inlineStr">
        <is>
          <t>FYTD</t>
        </is>
      </c>
      <c r="F418">
        <f>IF(OR(Markets!B15="",Markets!F15=""),"",Markets!F15)</f>
        <v/>
      </c>
    </row>
    <row r="419">
      <c r="A419" t="inlineStr">
        <is>
          <t>market</t>
        </is>
      </c>
      <c r="C419">
        <f>IF(Markets!B15="","",Markets!B15)</f>
        <v/>
      </c>
      <c r="D419" t="inlineStr">
        <is>
          <t>return</t>
        </is>
      </c>
      <c r="E419" t="inlineStr">
        <is>
          <t>YTD</t>
        </is>
      </c>
      <c r="F419">
        <f>IF(OR(Markets!B15="",Markets!G15=""),"",Markets!G15)</f>
        <v/>
      </c>
    </row>
    <row r="420">
      <c r="A420" t="inlineStr">
        <is>
          <t>market</t>
        </is>
      </c>
      <c r="C420">
        <f>IF(Markets!B15="","",Markets!B15)</f>
        <v/>
      </c>
      <c r="D420" t="inlineStr">
        <is>
          <t>return</t>
        </is>
      </c>
      <c r="E420" t="inlineStr">
        <is>
          <t>1Y</t>
        </is>
      </c>
      <c r="F420">
        <f>IF(OR(Markets!B15="",Markets!H15=""),"",Markets!H15)</f>
        <v/>
      </c>
    </row>
    <row r="421">
      <c r="A421" t="inlineStr">
        <is>
          <t>market</t>
        </is>
      </c>
      <c r="C421">
        <f>IF(Markets!B15="","",Markets!B15)</f>
        <v/>
      </c>
      <c r="D421" t="inlineStr">
        <is>
          <t>return</t>
        </is>
      </c>
      <c r="E421" t="inlineStr">
        <is>
          <t>3Y</t>
        </is>
      </c>
      <c r="F421">
        <f>IF(OR(Markets!B15="",Markets!I15=""),"",Markets!I15)</f>
        <v/>
      </c>
    </row>
    <row r="422">
      <c r="A422" t="inlineStr">
        <is>
          <t>market</t>
        </is>
      </c>
      <c r="C422">
        <f>IF(Markets!B15="","",Markets!B15)</f>
        <v/>
      </c>
      <c r="D422" t="inlineStr">
        <is>
          <t>return</t>
        </is>
      </c>
      <c r="E422" t="inlineStr">
        <is>
          <t>5Y</t>
        </is>
      </c>
      <c r="F422">
        <f>IF(OR(Markets!B15="",Markets!J15=""),"",Markets!J15)</f>
        <v/>
      </c>
    </row>
    <row r="423">
      <c r="A423" t="inlineStr">
        <is>
          <t>market</t>
        </is>
      </c>
      <c r="C423">
        <f>IF(Markets!B15="","",Markets!B15)</f>
        <v/>
      </c>
      <c r="D423" t="inlineStr">
        <is>
          <t>return</t>
        </is>
      </c>
      <c r="E423" t="inlineStr">
        <is>
          <t>10Y</t>
        </is>
      </c>
      <c r="F423">
        <f>IF(OR(Markets!B15="",Markets!K15=""),"",Markets!K15)</f>
        <v/>
      </c>
    </row>
    <row r="424">
      <c r="A424" t="inlineStr">
        <is>
          <t>market</t>
        </is>
      </c>
      <c r="C424">
        <f>IF(Markets!B16="","",Markets!B16)</f>
        <v/>
      </c>
      <c r="D424" t="inlineStr">
        <is>
          <t>group</t>
        </is>
      </c>
      <c r="G424">
        <f>IF(Markets!B16="","",Markets!A16)</f>
        <v/>
      </c>
    </row>
    <row r="425">
      <c r="A425" t="inlineStr">
        <is>
          <t>market</t>
        </is>
      </c>
      <c r="C425">
        <f>IF(Markets!B16="","",Markets!B16)</f>
        <v/>
      </c>
      <c r="D425" t="inlineStr">
        <is>
          <t>description</t>
        </is>
      </c>
      <c r="G425">
        <f>IF(Markets!B16="","",Markets!C16)</f>
        <v/>
      </c>
    </row>
    <row r="426">
      <c r="A426" t="inlineStr">
        <is>
          <t>market</t>
        </is>
      </c>
      <c r="C426">
        <f>IF(Markets!B16="","",Markets!B16)</f>
        <v/>
      </c>
      <c r="D426" t="inlineStr">
        <is>
          <t>return</t>
        </is>
      </c>
      <c r="E426" t="inlineStr">
        <is>
          <t>1M</t>
        </is>
      </c>
      <c r="F426">
        <f>IF(OR(Markets!B16="",Markets!D16=""),"",Markets!D16)</f>
        <v/>
      </c>
    </row>
    <row r="427">
      <c r="A427" t="inlineStr">
        <is>
          <t>market</t>
        </is>
      </c>
      <c r="C427">
        <f>IF(Markets!B16="","",Markets!B16)</f>
        <v/>
      </c>
      <c r="D427" t="inlineStr">
        <is>
          <t>return</t>
        </is>
      </c>
      <c r="E427" t="inlineStr">
        <is>
          <t>3M</t>
        </is>
      </c>
      <c r="F427">
        <f>IF(OR(Markets!B16="",Markets!E16=""),"",Markets!E16)</f>
        <v/>
      </c>
    </row>
    <row r="428">
      <c r="A428" t="inlineStr">
        <is>
          <t>market</t>
        </is>
      </c>
      <c r="C428">
        <f>IF(Markets!B16="","",Markets!B16)</f>
        <v/>
      </c>
      <c r="D428" t="inlineStr">
        <is>
          <t>return</t>
        </is>
      </c>
      <c r="E428" t="inlineStr">
        <is>
          <t>FYTD</t>
        </is>
      </c>
      <c r="F428">
        <f>IF(OR(Markets!B16="",Markets!F16=""),"",Markets!F16)</f>
        <v/>
      </c>
    </row>
    <row r="429">
      <c r="A429" t="inlineStr">
        <is>
          <t>market</t>
        </is>
      </c>
      <c r="C429">
        <f>IF(Markets!B16="","",Markets!B16)</f>
        <v/>
      </c>
      <c r="D429" t="inlineStr">
        <is>
          <t>return</t>
        </is>
      </c>
      <c r="E429" t="inlineStr">
        <is>
          <t>YTD</t>
        </is>
      </c>
      <c r="F429">
        <f>IF(OR(Markets!B16="",Markets!G16=""),"",Markets!G16)</f>
        <v/>
      </c>
    </row>
    <row r="430">
      <c r="A430" t="inlineStr">
        <is>
          <t>market</t>
        </is>
      </c>
      <c r="C430">
        <f>IF(Markets!B16="","",Markets!B16)</f>
        <v/>
      </c>
      <c r="D430" t="inlineStr">
        <is>
          <t>return</t>
        </is>
      </c>
      <c r="E430" t="inlineStr">
        <is>
          <t>1Y</t>
        </is>
      </c>
      <c r="F430">
        <f>IF(OR(Markets!B16="",Markets!H16=""),"",Markets!H16)</f>
        <v/>
      </c>
    </row>
    <row r="431">
      <c r="A431" t="inlineStr">
        <is>
          <t>market</t>
        </is>
      </c>
      <c r="C431">
        <f>IF(Markets!B16="","",Markets!B16)</f>
        <v/>
      </c>
      <c r="D431" t="inlineStr">
        <is>
          <t>return</t>
        </is>
      </c>
      <c r="E431" t="inlineStr">
        <is>
          <t>3Y</t>
        </is>
      </c>
      <c r="F431">
        <f>IF(OR(Markets!B16="",Markets!I16=""),"",Markets!I16)</f>
        <v/>
      </c>
    </row>
    <row r="432">
      <c r="A432" t="inlineStr">
        <is>
          <t>market</t>
        </is>
      </c>
      <c r="C432">
        <f>IF(Markets!B16="","",Markets!B16)</f>
        <v/>
      </c>
      <c r="D432" t="inlineStr">
        <is>
          <t>return</t>
        </is>
      </c>
      <c r="E432" t="inlineStr">
        <is>
          <t>5Y</t>
        </is>
      </c>
      <c r="F432">
        <f>IF(OR(Markets!B16="",Markets!J16=""),"",Markets!J16)</f>
        <v/>
      </c>
    </row>
    <row r="433">
      <c r="A433" t="inlineStr">
        <is>
          <t>market</t>
        </is>
      </c>
      <c r="C433">
        <f>IF(Markets!B16="","",Markets!B16)</f>
        <v/>
      </c>
      <c r="D433" t="inlineStr">
        <is>
          <t>return</t>
        </is>
      </c>
      <c r="E433" t="inlineStr">
        <is>
          <t>10Y</t>
        </is>
      </c>
      <c r="F433">
        <f>IF(OR(Markets!B16="",Markets!K16=""),"",Markets!K16)</f>
        <v/>
      </c>
    </row>
    <row r="434">
      <c r="A434" t="inlineStr">
        <is>
          <t>market</t>
        </is>
      </c>
      <c r="C434">
        <f>IF(Markets!B17="","",Markets!B17)</f>
        <v/>
      </c>
      <c r="D434" t="inlineStr">
        <is>
          <t>group</t>
        </is>
      </c>
      <c r="G434">
        <f>IF(Markets!B17="","",Markets!A17)</f>
        <v/>
      </c>
    </row>
    <row r="435">
      <c r="A435" t="inlineStr">
        <is>
          <t>market</t>
        </is>
      </c>
      <c r="C435">
        <f>IF(Markets!B17="","",Markets!B17)</f>
        <v/>
      </c>
      <c r="D435" t="inlineStr">
        <is>
          <t>description</t>
        </is>
      </c>
      <c r="G435">
        <f>IF(Markets!B17="","",Markets!C17)</f>
        <v/>
      </c>
    </row>
    <row r="436">
      <c r="A436" t="inlineStr">
        <is>
          <t>market</t>
        </is>
      </c>
      <c r="C436">
        <f>IF(Markets!B17="","",Markets!B17)</f>
        <v/>
      </c>
      <c r="D436" t="inlineStr">
        <is>
          <t>return</t>
        </is>
      </c>
      <c r="E436" t="inlineStr">
        <is>
          <t>1M</t>
        </is>
      </c>
      <c r="F436">
        <f>IF(OR(Markets!B17="",Markets!D17=""),"",Markets!D17)</f>
        <v/>
      </c>
    </row>
    <row r="437">
      <c r="A437" t="inlineStr">
        <is>
          <t>market</t>
        </is>
      </c>
      <c r="C437">
        <f>IF(Markets!B17="","",Markets!B17)</f>
        <v/>
      </c>
      <c r="D437" t="inlineStr">
        <is>
          <t>return</t>
        </is>
      </c>
      <c r="E437" t="inlineStr">
        <is>
          <t>3M</t>
        </is>
      </c>
      <c r="F437">
        <f>IF(OR(Markets!B17="",Markets!E17=""),"",Markets!E17)</f>
        <v/>
      </c>
    </row>
    <row r="438">
      <c r="A438" t="inlineStr">
        <is>
          <t>market</t>
        </is>
      </c>
      <c r="C438">
        <f>IF(Markets!B17="","",Markets!B17)</f>
        <v/>
      </c>
      <c r="D438" t="inlineStr">
        <is>
          <t>return</t>
        </is>
      </c>
      <c r="E438" t="inlineStr">
        <is>
          <t>FYTD</t>
        </is>
      </c>
      <c r="F438">
        <f>IF(OR(Markets!B17="",Markets!F17=""),"",Markets!F17)</f>
        <v/>
      </c>
    </row>
    <row r="439">
      <c r="A439" t="inlineStr">
        <is>
          <t>market</t>
        </is>
      </c>
      <c r="C439">
        <f>IF(Markets!B17="","",Markets!B17)</f>
        <v/>
      </c>
      <c r="D439" t="inlineStr">
        <is>
          <t>return</t>
        </is>
      </c>
      <c r="E439" t="inlineStr">
        <is>
          <t>YTD</t>
        </is>
      </c>
      <c r="F439">
        <f>IF(OR(Markets!B17="",Markets!G17=""),"",Markets!G17)</f>
        <v/>
      </c>
    </row>
    <row r="440">
      <c r="A440" t="inlineStr">
        <is>
          <t>market</t>
        </is>
      </c>
      <c r="C440">
        <f>IF(Markets!B17="","",Markets!B17)</f>
        <v/>
      </c>
      <c r="D440" t="inlineStr">
        <is>
          <t>return</t>
        </is>
      </c>
      <c r="E440" t="inlineStr">
        <is>
          <t>1Y</t>
        </is>
      </c>
      <c r="F440">
        <f>IF(OR(Markets!B17="",Markets!H17=""),"",Markets!H17)</f>
        <v/>
      </c>
    </row>
    <row r="441">
      <c r="A441" t="inlineStr">
        <is>
          <t>market</t>
        </is>
      </c>
      <c r="C441">
        <f>IF(Markets!B17="","",Markets!B17)</f>
        <v/>
      </c>
      <c r="D441" t="inlineStr">
        <is>
          <t>return</t>
        </is>
      </c>
      <c r="E441" t="inlineStr">
        <is>
          <t>3Y</t>
        </is>
      </c>
      <c r="F441">
        <f>IF(OR(Markets!B17="",Markets!I17=""),"",Markets!I17)</f>
        <v/>
      </c>
    </row>
    <row r="442">
      <c r="A442" t="inlineStr">
        <is>
          <t>market</t>
        </is>
      </c>
      <c r="C442">
        <f>IF(Markets!B17="","",Markets!B17)</f>
        <v/>
      </c>
      <c r="D442" t="inlineStr">
        <is>
          <t>return</t>
        </is>
      </c>
      <c r="E442" t="inlineStr">
        <is>
          <t>5Y</t>
        </is>
      </c>
      <c r="F442">
        <f>IF(OR(Markets!B17="",Markets!J17=""),"",Markets!J17)</f>
        <v/>
      </c>
    </row>
    <row r="443">
      <c r="A443" t="inlineStr">
        <is>
          <t>market</t>
        </is>
      </c>
      <c r="C443">
        <f>IF(Markets!B17="","",Markets!B17)</f>
        <v/>
      </c>
      <c r="D443" t="inlineStr">
        <is>
          <t>return</t>
        </is>
      </c>
      <c r="E443" t="inlineStr">
        <is>
          <t>10Y</t>
        </is>
      </c>
      <c r="F443">
        <f>IF(OR(Markets!B17="",Markets!K17=""),"",Markets!K17)</f>
        <v/>
      </c>
    </row>
    <row r="444">
      <c r="A444" t="inlineStr">
        <is>
          <t>market</t>
        </is>
      </c>
      <c r="C444">
        <f>IF(Markets!B18="","",Markets!B18)</f>
        <v/>
      </c>
      <c r="D444" t="inlineStr">
        <is>
          <t>group</t>
        </is>
      </c>
      <c r="G444">
        <f>IF(Markets!B18="","",Markets!A18)</f>
        <v/>
      </c>
    </row>
    <row r="445">
      <c r="A445" t="inlineStr">
        <is>
          <t>market</t>
        </is>
      </c>
      <c r="C445">
        <f>IF(Markets!B18="","",Markets!B18)</f>
        <v/>
      </c>
      <c r="D445" t="inlineStr">
        <is>
          <t>description</t>
        </is>
      </c>
      <c r="G445">
        <f>IF(Markets!B18="","",Markets!C18)</f>
        <v/>
      </c>
    </row>
    <row r="446">
      <c r="A446" t="inlineStr">
        <is>
          <t>market</t>
        </is>
      </c>
      <c r="C446">
        <f>IF(Markets!B18="","",Markets!B18)</f>
        <v/>
      </c>
      <c r="D446" t="inlineStr">
        <is>
          <t>return</t>
        </is>
      </c>
      <c r="E446" t="inlineStr">
        <is>
          <t>1M</t>
        </is>
      </c>
      <c r="F446">
        <f>IF(OR(Markets!B18="",Markets!D18=""),"",Markets!D18)</f>
        <v/>
      </c>
    </row>
    <row r="447">
      <c r="A447" t="inlineStr">
        <is>
          <t>market</t>
        </is>
      </c>
      <c r="C447">
        <f>IF(Markets!B18="","",Markets!B18)</f>
        <v/>
      </c>
      <c r="D447" t="inlineStr">
        <is>
          <t>return</t>
        </is>
      </c>
      <c r="E447" t="inlineStr">
        <is>
          <t>3M</t>
        </is>
      </c>
      <c r="F447">
        <f>IF(OR(Markets!B18="",Markets!E18=""),"",Markets!E18)</f>
        <v/>
      </c>
    </row>
    <row r="448">
      <c r="A448" t="inlineStr">
        <is>
          <t>market</t>
        </is>
      </c>
      <c r="C448">
        <f>IF(Markets!B18="","",Markets!B18)</f>
        <v/>
      </c>
      <c r="D448" t="inlineStr">
        <is>
          <t>return</t>
        </is>
      </c>
      <c r="E448" t="inlineStr">
        <is>
          <t>FYTD</t>
        </is>
      </c>
      <c r="F448">
        <f>IF(OR(Markets!B18="",Markets!F18=""),"",Markets!F18)</f>
        <v/>
      </c>
    </row>
    <row r="449">
      <c r="A449" t="inlineStr">
        <is>
          <t>market</t>
        </is>
      </c>
      <c r="C449">
        <f>IF(Markets!B18="","",Markets!B18)</f>
        <v/>
      </c>
      <c r="D449" t="inlineStr">
        <is>
          <t>return</t>
        </is>
      </c>
      <c r="E449" t="inlineStr">
        <is>
          <t>YTD</t>
        </is>
      </c>
      <c r="F449">
        <f>IF(OR(Markets!B18="",Markets!G18=""),"",Markets!G18)</f>
        <v/>
      </c>
    </row>
    <row r="450">
      <c r="A450" t="inlineStr">
        <is>
          <t>market</t>
        </is>
      </c>
      <c r="C450">
        <f>IF(Markets!B18="","",Markets!B18)</f>
        <v/>
      </c>
      <c r="D450" t="inlineStr">
        <is>
          <t>return</t>
        </is>
      </c>
      <c r="E450" t="inlineStr">
        <is>
          <t>1Y</t>
        </is>
      </c>
      <c r="F450">
        <f>IF(OR(Markets!B18="",Markets!H18=""),"",Markets!H18)</f>
        <v/>
      </c>
    </row>
    <row r="451">
      <c r="A451" t="inlineStr">
        <is>
          <t>market</t>
        </is>
      </c>
      <c r="C451">
        <f>IF(Markets!B18="","",Markets!B18)</f>
        <v/>
      </c>
      <c r="D451" t="inlineStr">
        <is>
          <t>return</t>
        </is>
      </c>
      <c r="E451" t="inlineStr">
        <is>
          <t>3Y</t>
        </is>
      </c>
      <c r="F451">
        <f>IF(OR(Markets!B18="",Markets!I18=""),"",Markets!I18)</f>
        <v/>
      </c>
    </row>
    <row r="452">
      <c r="A452" t="inlineStr">
        <is>
          <t>market</t>
        </is>
      </c>
      <c r="C452">
        <f>IF(Markets!B18="","",Markets!B18)</f>
        <v/>
      </c>
      <c r="D452" t="inlineStr">
        <is>
          <t>return</t>
        </is>
      </c>
      <c r="E452" t="inlineStr">
        <is>
          <t>5Y</t>
        </is>
      </c>
      <c r="F452">
        <f>IF(OR(Markets!B18="",Markets!J18=""),"",Markets!J18)</f>
        <v/>
      </c>
    </row>
    <row r="453">
      <c r="A453" t="inlineStr">
        <is>
          <t>market</t>
        </is>
      </c>
      <c r="C453">
        <f>IF(Markets!B18="","",Markets!B18)</f>
        <v/>
      </c>
      <c r="D453" t="inlineStr">
        <is>
          <t>return</t>
        </is>
      </c>
      <c r="E453" t="inlineStr">
        <is>
          <t>10Y</t>
        </is>
      </c>
      <c r="F453">
        <f>IF(OR(Markets!B18="",Markets!K18=""),"",Markets!K18)</f>
        <v/>
      </c>
    </row>
    <row r="454">
      <c r="A454" t="inlineStr">
        <is>
          <t>market</t>
        </is>
      </c>
      <c r="C454">
        <f>IF(Markets!B19="","",Markets!B19)</f>
        <v/>
      </c>
      <c r="D454" t="inlineStr">
        <is>
          <t>group</t>
        </is>
      </c>
      <c r="G454">
        <f>IF(Markets!B19="","",Markets!A19)</f>
        <v/>
      </c>
    </row>
    <row r="455">
      <c r="A455" t="inlineStr">
        <is>
          <t>market</t>
        </is>
      </c>
      <c r="C455">
        <f>IF(Markets!B19="","",Markets!B19)</f>
        <v/>
      </c>
      <c r="D455" t="inlineStr">
        <is>
          <t>description</t>
        </is>
      </c>
      <c r="G455">
        <f>IF(Markets!B19="","",Markets!C19)</f>
        <v/>
      </c>
    </row>
    <row r="456">
      <c r="A456" t="inlineStr">
        <is>
          <t>market</t>
        </is>
      </c>
      <c r="C456">
        <f>IF(Markets!B19="","",Markets!B19)</f>
        <v/>
      </c>
      <c r="D456" t="inlineStr">
        <is>
          <t>return</t>
        </is>
      </c>
      <c r="E456" t="inlineStr">
        <is>
          <t>1M</t>
        </is>
      </c>
      <c r="F456">
        <f>IF(OR(Markets!B19="",Markets!D19=""),"",Markets!D19)</f>
        <v/>
      </c>
    </row>
    <row r="457">
      <c r="A457" t="inlineStr">
        <is>
          <t>market</t>
        </is>
      </c>
      <c r="C457">
        <f>IF(Markets!B19="","",Markets!B19)</f>
        <v/>
      </c>
      <c r="D457" t="inlineStr">
        <is>
          <t>return</t>
        </is>
      </c>
      <c r="E457" t="inlineStr">
        <is>
          <t>3M</t>
        </is>
      </c>
      <c r="F457">
        <f>IF(OR(Markets!B19="",Markets!E19=""),"",Markets!E19)</f>
        <v/>
      </c>
    </row>
    <row r="458">
      <c r="A458" t="inlineStr">
        <is>
          <t>market</t>
        </is>
      </c>
      <c r="C458">
        <f>IF(Markets!B19="","",Markets!B19)</f>
        <v/>
      </c>
      <c r="D458" t="inlineStr">
        <is>
          <t>return</t>
        </is>
      </c>
      <c r="E458" t="inlineStr">
        <is>
          <t>FYTD</t>
        </is>
      </c>
      <c r="F458">
        <f>IF(OR(Markets!B19="",Markets!F19=""),"",Markets!F19)</f>
        <v/>
      </c>
    </row>
    <row r="459">
      <c r="A459" t="inlineStr">
        <is>
          <t>market</t>
        </is>
      </c>
      <c r="C459">
        <f>IF(Markets!B19="","",Markets!B19)</f>
        <v/>
      </c>
      <c r="D459" t="inlineStr">
        <is>
          <t>return</t>
        </is>
      </c>
      <c r="E459" t="inlineStr">
        <is>
          <t>YTD</t>
        </is>
      </c>
      <c r="F459">
        <f>IF(OR(Markets!B19="",Markets!G19=""),"",Markets!G19)</f>
        <v/>
      </c>
    </row>
    <row r="460">
      <c r="A460" t="inlineStr">
        <is>
          <t>market</t>
        </is>
      </c>
      <c r="C460">
        <f>IF(Markets!B19="","",Markets!B19)</f>
        <v/>
      </c>
      <c r="D460" t="inlineStr">
        <is>
          <t>return</t>
        </is>
      </c>
      <c r="E460" t="inlineStr">
        <is>
          <t>1Y</t>
        </is>
      </c>
      <c r="F460">
        <f>IF(OR(Markets!B19="",Markets!H19=""),"",Markets!H19)</f>
        <v/>
      </c>
    </row>
    <row r="461">
      <c r="A461" t="inlineStr">
        <is>
          <t>market</t>
        </is>
      </c>
      <c r="C461">
        <f>IF(Markets!B19="","",Markets!B19)</f>
        <v/>
      </c>
      <c r="D461" t="inlineStr">
        <is>
          <t>return</t>
        </is>
      </c>
      <c r="E461" t="inlineStr">
        <is>
          <t>3Y</t>
        </is>
      </c>
      <c r="F461">
        <f>IF(OR(Markets!B19="",Markets!I19=""),"",Markets!I19)</f>
        <v/>
      </c>
    </row>
    <row r="462">
      <c r="A462" t="inlineStr">
        <is>
          <t>market</t>
        </is>
      </c>
      <c r="C462">
        <f>IF(Markets!B19="","",Markets!B19)</f>
        <v/>
      </c>
      <c r="D462" t="inlineStr">
        <is>
          <t>return</t>
        </is>
      </c>
      <c r="E462" t="inlineStr">
        <is>
          <t>5Y</t>
        </is>
      </c>
      <c r="F462">
        <f>IF(OR(Markets!B19="",Markets!J19=""),"",Markets!J19)</f>
        <v/>
      </c>
    </row>
    <row r="463">
      <c r="A463" t="inlineStr">
        <is>
          <t>market</t>
        </is>
      </c>
      <c r="C463">
        <f>IF(Markets!B19="","",Markets!B19)</f>
        <v/>
      </c>
      <c r="D463" t="inlineStr">
        <is>
          <t>return</t>
        </is>
      </c>
      <c r="E463" t="inlineStr">
        <is>
          <t>10Y</t>
        </is>
      </c>
      <c r="F463">
        <f>IF(OR(Markets!B19="",Markets!K19=""),"",Markets!K19)</f>
        <v/>
      </c>
    </row>
    <row r="464">
      <c r="A464" t="inlineStr">
        <is>
          <t>market</t>
        </is>
      </c>
      <c r="C464">
        <f>IF(Markets!B20="","",Markets!B20)</f>
        <v/>
      </c>
      <c r="D464" t="inlineStr">
        <is>
          <t>group</t>
        </is>
      </c>
      <c r="G464">
        <f>IF(Markets!B20="","",Markets!A20)</f>
        <v/>
      </c>
    </row>
    <row r="465">
      <c r="A465" t="inlineStr">
        <is>
          <t>market</t>
        </is>
      </c>
      <c r="C465">
        <f>IF(Markets!B20="","",Markets!B20)</f>
        <v/>
      </c>
      <c r="D465" t="inlineStr">
        <is>
          <t>description</t>
        </is>
      </c>
      <c r="G465">
        <f>IF(Markets!B20="","",Markets!C20)</f>
        <v/>
      </c>
    </row>
    <row r="466">
      <c r="A466" t="inlineStr">
        <is>
          <t>market</t>
        </is>
      </c>
      <c r="C466">
        <f>IF(Markets!B20="","",Markets!B20)</f>
        <v/>
      </c>
      <c r="D466" t="inlineStr">
        <is>
          <t>return</t>
        </is>
      </c>
      <c r="E466" t="inlineStr">
        <is>
          <t>1M</t>
        </is>
      </c>
      <c r="F466">
        <f>IF(OR(Markets!B20="",Markets!D20=""),"",Markets!D20)</f>
        <v/>
      </c>
    </row>
    <row r="467">
      <c r="A467" t="inlineStr">
        <is>
          <t>market</t>
        </is>
      </c>
      <c r="C467">
        <f>IF(Markets!B20="","",Markets!B20)</f>
        <v/>
      </c>
      <c r="D467" t="inlineStr">
        <is>
          <t>return</t>
        </is>
      </c>
      <c r="E467" t="inlineStr">
        <is>
          <t>3M</t>
        </is>
      </c>
      <c r="F467">
        <f>IF(OR(Markets!B20="",Markets!E20=""),"",Markets!E20)</f>
        <v/>
      </c>
    </row>
    <row r="468">
      <c r="A468" t="inlineStr">
        <is>
          <t>market</t>
        </is>
      </c>
      <c r="C468">
        <f>IF(Markets!B20="","",Markets!B20)</f>
        <v/>
      </c>
      <c r="D468" t="inlineStr">
        <is>
          <t>return</t>
        </is>
      </c>
      <c r="E468" t="inlineStr">
        <is>
          <t>FYTD</t>
        </is>
      </c>
      <c r="F468">
        <f>IF(OR(Markets!B20="",Markets!F20=""),"",Markets!F20)</f>
        <v/>
      </c>
    </row>
    <row r="469">
      <c r="A469" t="inlineStr">
        <is>
          <t>market</t>
        </is>
      </c>
      <c r="C469">
        <f>IF(Markets!B20="","",Markets!B20)</f>
        <v/>
      </c>
      <c r="D469" t="inlineStr">
        <is>
          <t>return</t>
        </is>
      </c>
      <c r="E469" t="inlineStr">
        <is>
          <t>YTD</t>
        </is>
      </c>
      <c r="F469">
        <f>IF(OR(Markets!B20="",Markets!G20=""),"",Markets!G20)</f>
        <v/>
      </c>
    </row>
    <row r="470">
      <c r="A470" t="inlineStr">
        <is>
          <t>market</t>
        </is>
      </c>
      <c r="C470">
        <f>IF(Markets!B20="","",Markets!B20)</f>
        <v/>
      </c>
      <c r="D470" t="inlineStr">
        <is>
          <t>return</t>
        </is>
      </c>
      <c r="E470" t="inlineStr">
        <is>
          <t>1Y</t>
        </is>
      </c>
      <c r="F470">
        <f>IF(OR(Markets!B20="",Markets!H20=""),"",Markets!H20)</f>
        <v/>
      </c>
    </row>
    <row r="471">
      <c r="A471" t="inlineStr">
        <is>
          <t>market</t>
        </is>
      </c>
      <c r="C471">
        <f>IF(Markets!B20="","",Markets!B20)</f>
        <v/>
      </c>
      <c r="D471" t="inlineStr">
        <is>
          <t>return</t>
        </is>
      </c>
      <c r="E471" t="inlineStr">
        <is>
          <t>3Y</t>
        </is>
      </c>
      <c r="F471">
        <f>IF(OR(Markets!B20="",Markets!I20=""),"",Markets!I20)</f>
        <v/>
      </c>
    </row>
    <row r="472">
      <c r="A472" t="inlineStr">
        <is>
          <t>market</t>
        </is>
      </c>
      <c r="C472">
        <f>IF(Markets!B20="","",Markets!B20)</f>
        <v/>
      </c>
      <c r="D472" t="inlineStr">
        <is>
          <t>return</t>
        </is>
      </c>
      <c r="E472" t="inlineStr">
        <is>
          <t>5Y</t>
        </is>
      </c>
      <c r="F472">
        <f>IF(OR(Markets!B20="",Markets!J20=""),"",Markets!J20)</f>
        <v/>
      </c>
    </row>
    <row r="473">
      <c r="A473" t="inlineStr">
        <is>
          <t>market</t>
        </is>
      </c>
      <c r="C473">
        <f>IF(Markets!B20="","",Markets!B20)</f>
        <v/>
      </c>
      <c r="D473" t="inlineStr">
        <is>
          <t>return</t>
        </is>
      </c>
      <c r="E473" t="inlineStr">
        <is>
          <t>10Y</t>
        </is>
      </c>
      <c r="F473">
        <f>IF(OR(Markets!B20="",Markets!K20=""),"",Markets!K20)</f>
        <v/>
      </c>
    </row>
    <row r="474">
      <c r="A474" t="inlineStr">
        <is>
          <t>market</t>
        </is>
      </c>
      <c r="C474">
        <f>IF(Markets!B21="","",Markets!B21)</f>
        <v/>
      </c>
      <c r="D474" t="inlineStr">
        <is>
          <t>group</t>
        </is>
      </c>
      <c r="G474">
        <f>IF(Markets!B21="","",Markets!A21)</f>
        <v/>
      </c>
    </row>
    <row r="475">
      <c r="A475" t="inlineStr">
        <is>
          <t>market</t>
        </is>
      </c>
      <c r="C475">
        <f>IF(Markets!B21="","",Markets!B21)</f>
        <v/>
      </c>
      <c r="D475" t="inlineStr">
        <is>
          <t>description</t>
        </is>
      </c>
      <c r="G475">
        <f>IF(Markets!B21="","",Markets!C21)</f>
        <v/>
      </c>
    </row>
    <row r="476">
      <c r="A476" t="inlineStr">
        <is>
          <t>market</t>
        </is>
      </c>
      <c r="C476">
        <f>IF(Markets!B21="","",Markets!B21)</f>
        <v/>
      </c>
      <c r="D476" t="inlineStr">
        <is>
          <t>return</t>
        </is>
      </c>
      <c r="E476" t="inlineStr">
        <is>
          <t>1M</t>
        </is>
      </c>
      <c r="F476">
        <f>IF(OR(Markets!B21="",Markets!D21=""),"",Markets!D21)</f>
        <v/>
      </c>
    </row>
    <row r="477">
      <c r="A477" t="inlineStr">
        <is>
          <t>market</t>
        </is>
      </c>
      <c r="C477">
        <f>IF(Markets!B21="","",Markets!B21)</f>
        <v/>
      </c>
      <c r="D477" t="inlineStr">
        <is>
          <t>return</t>
        </is>
      </c>
      <c r="E477" t="inlineStr">
        <is>
          <t>3M</t>
        </is>
      </c>
      <c r="F477">
        <f>IF(OR(Markets!B21="",Markets!E21=""),"",Markets!E21)</f>
        <v/>
      </c>
    </row>
    <row r="478">
      <c r="A478" t="inlineStr">
        <is>
          <t>market</t>
        </is>
      </c>
      <c r="C478">
        <f>IF(Markets!B21="","",Markets!B21)</f>
        <v/>
      </c>
      <c r="D478" t="inlineStr">
        <is>
          <t>return</t>
        </is>
      </c>
      <c r="E478" t="inlineStr">
        <is>
          <t>FYTD</t>
        </is>
      </c>
      <c r="F478">
        <f>IF(OR(Markets!B21="",Markets!F21=""),"",Markets!F21)</f>
        <v/>
      </c>
    </row>
    <row r="479">
      <c r="A479" t="inlineStr">
        <is>
          <t>market</t>
        </is>
      </c>
      <c r="C479">
        <f>IF(Markets!B21="","",Markets!B21)</f>
        <v/>
      </c>
      <c r="D479" t="inlineStr">
        <is>
          <t>return</t>
        </is>
      </c>
      <c r="E479" t="inlineStr">
        <is>
          <t>YTD</t>
        </is>
      </c>
      <c r="F479">
        <f>IF(OR(Markets!B21="",Markets!G21=""),"",Markets!G21)</f>
        <v/>
      </c>
    </row>
    <row r="480">
      <c r="A480" t="inlineStr">
        <is>
          <t>market</t>
        </is>
      </c>
      <c r="C480">
        <f>IF(Markets!B21="","",Markets!B21)</f>
        <v/>
      </c>
      <c r="D480" t="inlineStr">
        <is>
          <t>return</t>
        </is>
      </c>
      <c r="E480" t="inlineStr">
        <is>
          <t>1Y</t>
        </is>
      </c>
      <c r="F480">
        <f>IF(OR(Markets!B21="",Markets!H21=""),"",Markets!H21)</f>
        <v/>
      </c>
    </row>
    <row r="481">
      <c r="A481" t="inlineStr">
        <is>
          <t>market</t>
        </is>
      </c>
      <c r="C481">
        <f>IF(Markets!B21="","",Markets!B21)</f>
        <v/>
      </c>
      <c r="D481" t="inlineStr">
        <is>
          <t>return</t>
        </is>
      </c>
      <c r="E481" t="inlineStr">
        <is>
          <t>3Y</t>
        </is>
      </c>
      <c r="F481">
        <f>IF(OR(Markets!B21="",Markets!I21=""),"",Markets!I21)</f>
        <v/>
      </c>
    </row>
    <row r="482">
      <c r="A482" t="inlineStr">
        <is>
          <t>market</t>
        </is>
      </c>
      <c r="C482">
        <f>IF(Markets!B21="","",Markets!B21)</f>
        <v/>
      </c>
      <c r="D482" t="inlineStr">
        <is>
          <t>return</t>
        </is>
      </c>
      <c r="E482" t="inlineStr">
        <is>
          <t>5Y</t>
        </is>
      </c>
      <c r="F482">
        <f>IF(OR(Markets!B21="",Markets!J21=""),"",Markets!J21)</f>
        <v/>
      </c>
    </row>
    <row r="483">
      <c r="A483" t="inlineStr">
        <is>
          <t>market</t>
        </is>
      </c>
      <c r="C483">
        <f>IF(Markets!B21="","",Markets!B21)</f>
        <v/>
      </c>
      <c r="D483" t="inlineStr">
        <is>
          <t>return</t>
        </is>
      </c>
      <c r="E483" t="inlineStr">
        <is>
          <t>10Y</t>
        </is>
      </c>
      <c r="F483">
        <f>IF(OR(Markets!B21="",Markets!K21=""),"",Markets!K21)</f>
        <v/>
      </c>
    </row>
    <row r="484">
      <c r="A484" t="inlineStr">
        <is>
          <t>market</t>
        </is>
      </c>
      <c r="C484">
        <f>IF(Markets!B22="","",Markets!B22)</f>
        <v/>
      </c>
      <c r="D484" t="inlineStr">
        <is>
          <t>group</t>
        </is>
      </c>
      <c r="G484">
        <f>IF(Markets!B22="","",Markets!A22)</f>
        <v/>
      </c>
    </row>
    <row r="485">
      <c r="A485" t="inlineStr">
        <is>
          <t>market</t>
        </is>
      </c>
      <c r="C485">
        <f>IF(Markets!B22="","",Markets!B22)</f>
        <v/>
      </c>
      <c r="D485" t="inlineStr">
        <is>
          <t>description</t>
        </is>
      </c>
      <c r="G485">
        <f>IF(Markets!B22="","",Markets!C22)</f>
        <v/>
      </c>
    </row>
    <row r="486">
      <c r="A486" t="inlineStr">
        <is>
          <t>market</t>
        </is>
      </c>
      <c r="C486">
        <f>IF(Markets!B22="","",Markets!B22)</f>
        <v/>
      </c>
      <c r="D486" t="inlineStr">
        <is>
          <t>return</t>
        </is>
      </c>
      <c r="E486" t="inlineStr">
        <is>
          <t>1M</t>
        </is>
      </c>
      <c r="F486">
        <f>IF(OR(Markets!B22="",Markets!D22=""),"",Markets!D22)</f>
        <v/>
      </c>
    </row>
    <row r="487">
      <c r="A487" t="inlineStr">
        <is>
          <t>market</t>
        </is>
      </c>
      <c r="C487">
        <f>IF(Markets!B22="","",Markets!B22)</f>
        <v/>
      </c>
      <c r="D487" t="inlineStr">
        <is>
          <t>return</t>
        </is>
      </c>
      <c r="E487" t="inlineStr">
        <is>
          <t>3M</t>
        </is>
      </c>
      <c r="F487">
        <f>IF(OR(Markets!B22="",Markets!E22=""),"",Markets!E22)</f>
        <v/>
      </c>
    </row>
    <row r="488">
      <c r="A488" t="inlineStr">
        <is>
          <t>market</t>
        </is>
      </c>
      <c r="C488">
        <f>IF(Markets!B22="","",Markets!B22)</f>
        <v/>
      </c>
      <c r="D488" t="inlineStr">
        <is>
          <t>return</t>
        </is>
      </c>
      <c r="E488" t="inlineStr">
        <is>
          <t>FYTD</t>
        </is>
      </c>
      <c r="F488">
        <f>IF(OR(Markets!B22="",Markets!F22=""),"",Markets!F22)</f>
        <v/>
      </c>
    </row>
    <row r="489">
      <c r="A489" t="inlineStr">
        <is>
          <t>market</t>
        </is>
      </c>
      <c r="C489">
        <f>IF(Markets!B22="","",Markets!B22)</f>
        <v/>
      </c>
      <c r="D489" t="inlineStr">
        <is>
          <t>return</t>
        </is>
      </c>
      <c r="E489" t="inlineStr">
        <is>
          <t>YTD</t>
        </is>
      </c>
      <c r="F489">
        <f>IF(OR(Markets!B22="",Markets!G22=""),"",Markets!G22)</f>
        <v/>
      </c>
    </row>
    <row r="490">
      <c r="A490" t="inlineStr">
        <is>
          <t>market</t>
        </is>
      </c>
      <c r="C490">
        <f>IF(Markets!B22="","",Markets!B22)</f>
        <v/>
      </c>
      <c r="D490" t="inlineStr">
        <is>
          <t>return</t>
        </is>
      </c>
      <c r="E490" t="inlineStr">
        <is>
          <t>1Y</t>
        </is>
      </c>
      <c r="F490">
        <f>IF(OR(Markets!B22="",Markets!H22=""),"",Markets!H22)</f>
        <v/>
      </c>
    </row>
    <row r="491">
      <c r="A491" t="inlineStr">
        <is>
          <t>market</t>
        </is>
      </c>
      <c r="C491">
        <f>IF(Markets!B22="","",Markets!B22)</f>
        <v/>
      </c>
      <c r="D491" t="inlineStr">
        <is>
          <t>return</t>
        </is>
      </c>
      <c r="E491" t="inlineStr">
        <is>
          <t>3Y</t>
        </is>
      </c>
      <c r="F491">
        <f>IF(OR(Markets!B22="",Markets!I22=""),"",Markets!I22)</f>
        <v/>
      </c>
    </row>
    <row r="492">
      <c r="A492" t="inlineStr">
        <is>
          <t>market</t>
        </is>
      </c>
      <c r="C492">
        <f>IF(Markets!B22="","",Markets!B22)</f>
        <v/>
      </c>
      <c r="D492" t="inlineStr">
        <is>
          <t>return</t>
        </is>
      </c>
      <c r="E492" t="inlineStr">
        <is>
          <t>5Y</t>
        </is>
      </c>
      <c r="F492">
        <f>IF(OR(Markets!B22="",Markets!J22=""),"",Markets!J22)</f>
        <v/>
      </c>
    </row>
    <row r="493">
      <c r="A493" t="inlineStr">
        <is>
          <t>market</t>
        </is>
      </c>
      <c r="C493">
        <f>IF(Markets!B22="","",Markets!B22)</f>
        <v/>
      </c>
      <c r="D493" t="inlineStr">
        <is>
          <t>return</t>
        </is>
      </c>
      <c r="E493" t="inlineStr">
        <is>
          <t>10Y</t>
        </is>
      </c>
      <c r="F493">
        <f>IF(OR(Markets!B22="",Markets!K22=""),"",Markets!K22)</f>
        <v/>
      </c>
    </row>
    <row r="494">
      <c r="A494" t="inlineStr">
        <is>
          <t>market</t>
        </is>
      </c>
      <c r="C494">
        <f>IF(Markets!B23="","",Markets!B23)</f>
        <v/>
      </c>
      <c r="D494" t="inlineStr">
        <is>
          <t>group</t>
        </is>
      </c>
      <c r="G494">
        <f>IF(Markets!B23="","",Markets!A23)</f>
        <v/>
      </c>
    </row>
    <row r="495">
      <c r="A495" t="inlineStr">
        <is>
          <t>market</t>
        </is>
      </c>
      <c r="C495">
        <f>IF(Markets!B23="","",Markets!B23)</f>
        <v/>
      </c>
      <c r="D495" t="inlineStr">
        <is>
          <t>description</t>
        </is>
      </c>
      <c r="G495">
        <f>IF(Markets!B23="","",Markets!C23)</f>
        <v/>
      </c>
    </row>
    <row r="496">
      <c r="A496" t="inlineStr">
        <is>
          <t>market</t>
        </is>
      </c>
      <c r="C496">
        <f>IF(Markets!B23="","",Markets!B23)</f>
        <v/>
      </c>
      <c r="D496" t="inlineStr">
        <is>
          <t>return</t>
        </is>
      </c>
      <c r="E496" t="inlineStr">
        <is>
          <t>1M</t>
        </is>
      </c>
      <c r="F496">
        <f>IF(OR(Markets!B23="",Markets!D23=""),"",Markets!D23)</f>
        <v/>
      </c>
    </row>
    <row r="497">
      <c r="A497" t="inlineStr">
        <is>
          <t>market</t>
        </is>
      </c>
      <c r="C497">
        <f>IF(Markets!B23="","",Markets!B23)</f>
        <v/>
      </c>
      <c r="D497" t="inlineStr">
        <is>
          <t>return</t>
        </is>
      </c>
      <c r="E497" t="inlineStr">
        <is>
          <t>3M</t>
        </is>
      </c>
      <c r="F497">
        <f>IF(OR(Markets!B23="",Markets!E23=""),"",Markets!E23)</f>
        <v/>
      </c>
    </row>
    <row r="498">
      <c r="A498" t="inlineStr">
        <is>
          <t>market</t>
        </is>
      </c>
      <c r="C498">
        <f>IF(Markets!B23="","",Markets!B23)</f>
        <v/>
      </c>
      <c r="D498" t="inlineStr">
        <is>
          <t>return</t>
        </is>
      </c>
      <c r="E498" t="inlineStr">
        <is>
          <t>FYTD</t>
        </is>
      </c>
      <c r="F498">
        <f>IF(OR(Markets!B23="",Markets!F23=""),"",Markets!F23)</f>
        <v/>
      </c>
    </row>
    <row r="499">
      <c r="A499" t="inlineStr">
        <is>
          <t>market</t>
        </is>
      </c>
      <c r="C499">
        <f>IF(Markets!B23="","",Markets!B23)</f>
        <v/>
      </c>
      <c r="D499" t="inlineStr">
        <is>
          <t>return</t>
        </is>
      </c>
      <c r="E499" t="inlineStr">
        <is>
          <t>YTD</t>
        </is>
      </c>
      <c r="F499">
        <f>IF(OR(Markets!B23="",Markets!G23=""),"",Markets!G23)</f>
        <v/>
      </c>
    </row>
    <row r="500">
      <c r="A500" t="inlineStr">
        <is>
          <t>market</t>
        </is>
      </c>
      <c r="C500">
        <f>IF(Markets!B23="","",Markets!B23)</f>
        <v/>
      </c>
      <c r="D500" t="inlineStr">
        <is>
          <t>return</t>
        </is>
      </c>
      <c r="E500" t="inlineStr">
        <is>
          <t>1Y</t>
        </is>
      </c>
      <c r="F500">
        <f>IF(OR(Markets!B23="",Markets!H23=""),"",Markets!H23)</f>
        <v/>
      </c>
    </row>
    <row r="501">
      <c r="A501" t="inlineStr">
        <is>
          <t>market</t>
        </is>
      </c>
      <c r="C501">
        <f>IF(Markets!B23="","",Markets!B23)</f>
        <v/>
      </c>
      <c r="D501" t="inlineStr">
        <is>
          <t>return</t>
        </is>
      </c>
      <c r="E501" t="inlineStr">
        <is>
          <t>3Y</t>
        </is>
      </c>
      <c r="F501">
        <f>IF(OR(Markets!B23="",Markets!I23=""),"",Markets!I23)</f>
        <v/>
      </c>
    </row>
    <row r="502">
      <c r="A502" t="inlineStr">
        <is>
          <t>market</t>
        </is>
      </c>
      <c r="C502">
        <f>IF(Markets!B23="","",Markets!B23)</f>
        <v/>
      </c>
      <c r="D502" t="inlineStr">
        <is>
          <t>return</t>
        </is>
      </c>
      <c r="E502" t="inlineStr">
        <is>
          <t>5Y</t>
        </is>
      </c>
      <c r="F502">
        <f>IF(OR(Markets!B23="",Markets!J23=""),"",Markets!J23)</f>
        <v/>
      </c>
    </row>
    <row r="503">
      <c r="A503" t="inlineStr">
        <is>
          <t>market</t>
        </is>
      </c>
      <c r="C503">
        <f>IF(Markets!B23="","",Markets!B23)</f>
        <v/>
      </c>
      <c r="D503" t="inlineStr">
        <is>
          <t>return</t>
        </is>
      </c>
      <c r="E503" t="inlineStr">
        <is>
          <t>10Y</t>
        </is>
      </c>
      <c r="F503">
        <f>IF(OR(Markets!B23="",Markets!K23=""),"",Markets!K23)</f>
        <v/>
      </c>
    </row>
    <row r="504">
      <c r="A504" t="inlineStr">
        <is>
          <t>market</t>
        </is>
      </c>
      <c r="C504">
        <f>IF(Markets!B24="","",Markets!B24)</f>
        <v/>
      </c>
      <c r="D504" t="inlineStr">
        <is>
          <t>group</t>
        </is>
      </c>
      <c r="G504">
        <f>IF(Markets!B24="","",Markets!A24)</f>
        <v/>
      </c>
    </row>
    <row r="505">
      <c r="A505" t="inlineStr">
        <is>
          <t>market</t>
        </is>
      </c>
      <c r="C505">
        <f>IF(Markets!B24="","",Markets!B24)</f>
        <v/>
      </c>
      <c r="D505" t="inlineStr">
        <is>
          <t>description</t>
        </is>
      </c>
      <c r="G505">
        <f>IF(Markets!B24="","",Markets!C24)</f>
        <v/>
      </c>
    </row>
    <row r="506">
      <c r="A506" t="inlineStr">
        <is>
          <t>market</t>
        </is>
      </c>
      <c r="C506">
        <f>IF(Markets!B24="","",Markets!B24)</f>
        <v/>
      </c>
      <c r="D506" t="inlineStr">
        <is>
          <t>return</t>
        </is>
      </c>
      <c r="E506" t="inlineStr">
        <is>
          <t>1M</t>
        </is>
      </c>
      <c r="F506">
        <f>IF(OR(Markets!B24="",Markets!D24=""),"",Markets!D24)</f>
        <v/>
      </c>
    </row>
    <row r="507">
      <c r="A507" t="inlineStr">
        <is>
          <t>market</t>
        </is>
      </c>
      <c r="C507">
        <f>IF(Markets!B24="","",Markets!B24)</f>
        <v/>
      </c>
      <c r="D507" t="inlineStr">
        <is>
          <t>return</t>
        </is>
      </c>
      <c r="E507" t="inlineStr">
        <is>
          <t>3M</t>
        </is>
      </c>
      <c r="F507">
        <f>IF(OR(Markets!B24="",Markets!E24=""),"",Markets!E24)</f>
        <v/>
      </c>
    </row>
    <row r="508">
      <c r="A508" t="inlineStr">
        <is>
          <t>market</t>
        </is>
      </c>
      <c r="C508">
        <f>IF(Markets!B24="","",Markets!B24)</f>
        <v/>
      </c>
      <c r="D508" t="inlineStr">
        <is>
          <t>return</t>
        </is>
      </c>
      <c r="E508" t="inlineStr">
        <is>
          <t>FYTD</t>
        </is>
      </c>
      <c r="F508">
        <f>IF(OR(Markets!B24="",Markets!F24=""),"",Markets!F24)</f>
        <v/>
      </c>
    </row>
    <row r="509">
      <c r="A509" t="inlineStr">
        <is>
          <t>market</t>
        </is>
      </c>
      <c r="C509">
        <f>IF(Markets!B24="","",Markets!B24)</f>
        <v/>
      </c>
      <c r="D509" t="inlineStr">
        <is>
          <t>return</t>
        </is>
      </c>
      <c r="E509" t="inlineStr">
        <is>
          <t>YTD</t>
        </is>
      </c>
      <c r="F509">
        <f>IF(OR(Markets!B24="",Markets!G24=""),"",Markets!G24)</f>
        <v/>
      </c>
    </row>
    <row r="510">
      <c r="A510" t="inlineStr">
        <is>
          <t>market</t>
        </is>
      </c>
      <c r="C510">
        <f>IF(Markets!B24="","",Markets!B24)</f>
        <v/>
      </c>
      <c r="D510" t="inlineStr">
        <is>
          <t>return</t>
        </is>
      </c>
      <c r="E510" t="inlineStr">
        <is>
          <t>1Y</t>
        </is>
      </c>
      <c r="F510">
        <f>IF(OR(Markets!B24="",Markets!H24=""),"",Markets!H24)</f>
        <v/>
      </c>
    </row>
    <row r="511">
      <c r="A511" t="inlineStr">
        <is>
          <t>market</t>
        </is>
      </c>
      <c r="C511">
        <f>IF(Markets!B24="","",Markets!B24)</f>
        <v/>
      </c>
      <c r="D511" t="inlineStr">
        <is>
          <t>return</t>
        </is>
      </c>
      <c r="E511" t="inlineStr">
        <is>
          <t>3Y</t>
        </is>
      </c>
      <c r="F511">
        <f>IF(OR(Markets!B24="",Markets!I24=""),"",Markets!I24)</f>
        <v/>
      </c>
    </row>
    <row r="512">
      <c r="A512" t="inlineStr">
        <is>
          <t>market</t>
        </is>
      </c>
      <c r="C512">
        <f>IF(Markets!B24="","",Markets!B24)</f>
        <v/>
      </c>
      <c r="D512" t="inlineStr">
        <is>
          <t>return</t>
        </is>
      </c>
      <c r="E512" t="inlineStr">
        <is>
          <t>5Y</t>
        </is>
      </c>
      <c r="F512">
        <f>IF(OR(Markets!B24="",Markets!J24=""),"",Markets!J24)</f>
        <v/>
      </c>
    </row>
    <row r="513">
      <c r="A513" t="inlineStr">
        <is>
          <t>market</t>
        </is>
      </c>
      <c r="C513">
        <f>IF(Markets!B24="","",Markets!B24)</f>
        <v/>
      </c>
      <c r="D513" t="inlineStr">
        <is>
          <t>return</t>
        </is>
      </c>
      <c r="E513" t="inlineStr">
        <is>
          <t>10Y</t>
        </is>
      </c>
      <c r="F513">
        <f>IF(OR(Markets!B24="",Markets!K24=""),"",Markets!K24)</f>
        <v/>
      </c>
    </row>
    <row r="514">
      <c r="A514" t="inlineStr">
        <is>
          <t>macro</t>
        </is>
      </c>
      <c r="C514">
        <f>IF(Macro!A5="","",Macro!A5)</f>
        <v/>
      </c>
      <c r="D514" t="inlineStr">
        <is>
          <t>value</t>
        </is>
      </c>
      <c r="G514">
        <f>IF(Macro!A5="","",Macro!B5)</f>
        <v/>
      </c>
    </row>
    <row r="515">
      <c r="A515" t="inlineStr">
        <is>
          <t>macro</t>
        </is>
      </c>
      <c r="C515">
        <f>IF(Macro!A5="","",Macro!A5)</f>
        <v/>
      </c>
      <c r="D515" t="inlineStr">
        <is>
          <t>detail</t>
        </is>
      </c>
      <c r="G515">
        <f>IF(Macro!A5="","",Macro!C5)</f>
        <v/>
      </c>
    </row>
    <row r="516">
      <c r="A516" t="inlineStr">
        <is>
          <t>macro</t>
        </is>
      </c>
      <c r="C516">
        <f>IF(Macro!A6="","",Macro!A6)</f>
        <v/>
      </c>
      <c r="D516" t="inlineStr">
        <is>
          <t>value</t>
        </is>
      </c>
      <c r="G516">
        <f>IF(Macro!A6="","",Macro!B6)</f>
        <v/>
      </c>
    </row>
    <row r="517">
      <c r="A517" t="inlineStr">
        <is>
          <t>macro</t>
        </is>
      </c>
      <c r="C517">
        <f>IF(Macro!A6="","",Macro!A6)</f>
        <v/>
      </c>
      <c r="D517" t="inlineStr">
        <is>
          <t>detail</t>
        </is>
      </c>
      <c r="G517">
        <f>IF(Macro!A6="","",Macro!C6)</f>
        <v/>
      </c>
    </row>
    <row r="518">
      <c r="A518" t="inlineStr">
        <is>
          <t>macro</t>
        </is>
      </c>
      <c r="C518">
        <f>IF(Macro!A7="","",Macro!A7)</f>
        <v/>
      </c>
      <c r="D518" t="inlineStr">
        <is>
          <t>value</t>
        </is>
      </c>
      <c r="G518">
        <f>IF(Macro!A7="","",Macro!B7)</f>
        <v/>
      </c>
    </row>
    <row r="519">
      <c r="A519" t="inlineStr">
        <is>
          <t>macro</t>
        </is>
      </c>
      <c r="C519">
        <f>IF(Macro!A7="","",Macro!A7)</f>
        <v/>
      </c>
      <c r="D519" t="inlineStr">
        <is>
          <t>detail</t>
        </is>
      </c>
      <c r="G519">
        <f>IF(Macro!A7="","",Macro!C7)</f>
        <v/>
      </c>
    </row>
    <row r="520">
      <c r="A520" t="inlineStr">
        <is>
          <t>macro</t>
        </is>
      </c>
      <c r="C520">
        <f>IF(Macro!A8="","",Macro!A8)</f>
        <v/>
      </c>
      <c r="D520" t="inlineStr">
        <is>
          <t>value</t>
        </is>
      </c>
      <c r="G520">
        <f>IF(Macro!A8="","",Macro!B8)</f>
        <v/>
      </c>
    </row>
    <row r="521">
      <c r="A521" t="inlineStr">
        <is>
          <t>macro</t>
        </is>
      </c>
      <c r="C521">
        <f>IF(Macro!A8="","",Macro!A8)</f>
        <v/>
      </c>
      <c r="D521" t="inlineStr">
        <is>
          <t>detail</t>
        </is>
      </c>
      <c r="G521">
        <f>IF(Macro!A8="","",Macro!C8)</f>
        <v/>
      </c>
    </row>
    <row r="522">
      <c r="A522" t="inlineStr">
        <is>
          <t>macro</t>
        </is>
      </c>
      <c r="C522">
        <f>IF(Macro!A9="","",Macro!A9)</f>
        <v/>
      </c>
      <c r="D522" t="inlineStr">
        <is>
          <t>value</t>
        </is>
      </c>
      <c r="G522">
        <f>IF(Macro!A9="","",Macro!B9)</f>
        <v/>
      </c>
    </row>
    <row r="523">
      <c r="A523" t="inlineStr">
        <is>
          <t>macro</t>
        </is>
      </c>
      <c r="C523">
        <f>IF(Macro!A9="","",Macro!A9)</f>
        <v/>
      </c>
      <c r="D523" t="inlineStr">
        <is>
          <t>detail</t>
        </is>
      </c>
      <c r="G523">
        <f>IF(Macro!A9="","",Macro!C9)</f>
        <v/>
      </c>
    </row>
    <row r="524">
      <c r="A524" t="inlineStr">
        <is>
          <t>macro</t>
        </is>
      </c>
      <c r="C524">
        <f>IF(Macro!A10="","",Macro!A10)</f>
        <v/>
      </c>
      <c r="D524" t="inlineStr">
        <is>
          <t>value</t>
        </is>
      </c>
      <c r="G524">
        <f>IF(Macro!A10="","",Macro!B10)</f>
        <v/>
      </c>
    </row>
    <row r="525">
      <c r="A525" t="inlineStr">
        <is>
          <t>macro</t>
        </is>
      </c>
      <c r="C525">
        <f>IF(Macro!A10="","",Macro!A10)</f>
        <v/>
      </c>
      <c r="D525" t="inlineStr">
        <is>
          <t>detail</t>
        </is>
      </c>
      <c r="G525">
        <f>IF(Macro!A10="","",Macro!C10)</f>
        <v/>
      </c>
    </row>
    <row r="526">
      <c r="A526" t="inlineStr">
        <is>
          <t>macro</t>
        </is>
      </c>
      <c r="C526">
        <f>IF(Macro!A11="","",Macro!A11)</f>
        <v/>
      </c>
      <c r="D526" t="inlineStr">
        <is>
          <t>value</t>
        </is>
      </c>
      <c r="G526">
        <f>IF(Macro!A11="","",Macro!B11)</f>
        <v/>
      </c>
    </row>
    <row r="527">
      <c r="A527" t="inlineStr">
        <is>
          <t>macro</t>
        </is>
      </c>
      <c r="C527">
        <f>IF(Macro!A11="","",Macro!A11)</f>
        <v/>
      </c>
      <c r="D527" t="inlineStr">
        <is>
          <t>detail</t>
        </is>
      </c>
      <c r="G527">
        <f>IF(Macro!A11="","",Macro!C11)</f>
        <v/>
      </c>
    </row>
    <row r="528">
      <c r="A528" t="inlineStr">
        <is>
          <t>macro</t>
        </is>
      </c>
      <c r="C528">
        <f>IF(Macro!A12="","",Macro!A12)</f>
        <v/>
      </c>
      <c r="D528" t="inlineStr">
        <is>
          <t>value</t>
        </is>
      </c>
      <c r="G528">
        <f>IF(Macro!A12="","",Macro!B12)</f>
        <v/>
      </c>
    </row>
    <row r="529">
      <c r="A529" t="inlineStr">
        <is>
          <t>macro</t>
        </is>
      </c>
      <c r="C529">
        <f>IF(Macro!A12="","",Macro!A12)</f>
        <v/>
      </c>
      <c r="D529" t="inlineStr">
        <is>
          <t>detail</t>
        </is>
      </c>
      <c r="G529">
        <f>IF(Macro!A12="","",Macro!C12)</f>
        <v/>
      </c>
    </row>
    <row r="530">
      <c r="A530" t="inlineStr">
        <is>
          <t>attention</t>
        </is>
      </c>
      <c r="C530">
        <f>IF(Items!B5="","",Items!A5)</f>
        <v/>
      </c>
      <c r="D530">
        <f>IF(Items!B5="","",Items!C5)</f>
        <v/>
      </c>
      <c r="F530">
        <f>IF(OR(Items!B5="",Items!D5=""),"",Items!D5)</f>
        <v/>
      </c>
      <c r="G530">
        <f>IF(Items!B5="","",Items!B5)</f>
        <v/>
      </c>
    </row>
    <row r="531">
      <c r="A531" t="inlineStr">
        <is>
          <t>attention</t>
        </is>
      </c>
      <c r="C531">
        <f>IF(Items!B6="","",Items!A6)</f>
        <v/>
      </c>
      <c r="D531">
        <f>IF(Items!B6="","",Items!C6)</f>
        <v/>
      </c>
      <c r="F531">
        <f>IF(OR(Items!B6="",Items!D6=""),"",Items!D6)</f>
        <v/>
      </c>
      <c r="G531">
        <f>IF(Items!B6="","",Items!B6)</f>
        <v/>
      </c>
    </row>
    <row r="532">
      <c r="A532" t="inlineStr">
        <is>
          <t>attention</t>
        </is>
      </c>
      <c r="C532">
        <f>IF(Items!B7="","",Items!A7)</f>
        <v/>
      </c>
      <c r="D532">
        <f>IF(Items!B7="","",Items!C7)</f>
        <v/>
      </c>
      <c r="F532">
        <f>IF(OR(Items!B7="",Items!D7=""),"",Items!D7)</f>
        <v/>
      </c>
      <c r="G532">
        <f>IF(Items!B7="","",Items!B7)</f>
        <v/>
      </c>
    </row>
    <row r="533">
      <c r="A533" t="inlineStr">
        <is>
          <t>attention</t>
        </is>
      </c>
      <c r="C533">
        <f>IF(Items!B8="","",Items!A8)</f>
        <v/>
      </c>
      <c r="D533">
        <f>IF(Items!B8="","",Items!C8)</f>
        <v/>
      </c>
      <c r="F533">
        <f>IF(OR(Items!B8="",Items!D8=""),"",Items!D8)</f>
        <v/>
      </c>
      <c r="G533">
        <f>IF(Items!B8="","",Items!B8)</f>
        <v/>
      </c>
    </row>
    <row r="534">
      <c r="A534" t="inlineStr">
        <is>
          <t>attention</t>
        </is>
      </c>
      <c r="C534">
        <f>IF(Items!B9="","",Items!A9)</f>
        <v/>
      </c>
      <c r="D534">
        <f>IF(Items!B9="","",Items!C9)</f>
        <v/>
      </c>
      <c r="F534">
        <f>IF(OR(Items!B9="",Items!D9=""),"",Items!D9)</f>
        <v/>
      </c>
      <c r="G534">
        <f>IF(Items!B9="","",Items!B9)</f>
        <v/>
      </c>
    </row>
    <row r="535">
      <c r="A535" t="inlineStr">
        <is>
          <t>attention</t>
        </is>
      </c>
      <c r="C535">
        <f>IF(Items!B10="","",Items!A10)</f>
        <v/>
      </c>
      <c r="D535">
        <f>IF(Items!B10="","",Items!C10)</f>
        <v/>
      </c>
      <c r="F535">
        <f>IF(OR(Items!B10="",Items!D10=""),"",Items!D10)</f>
        <v/>
      </c>
      <c r="G535">
        <f>IF(Items!B10="","",Items!B10)</f>
        <v/>
      </c>
    </row>
    <row r="536">
      <c r="A536" t="inlineStr">
        <is>
          <t>attention</t>
        </is>
      </c>
      <c r="C536">
        <f>IF(Items!B11="","",Items!A11)</f>
        <v/>
      </c>
      <c r="D536">
        <f>IF(Items!B11="","",Items!C11)</f>
        <v/>
      </c>
      <c r="F536">
        <f>IF(OR(Items!B11="",Items!D11=""),"",Items!D11)</f>
        <v/>
      </c>
      <c r="G536">
        <f>IF(Items!B11="","",Items!B11)</f>
        <v/>
      </c>
    </row>
    <row r="537">
      <c r="A537" t="inlineStr">
        <is>
          <t>attention</t>
        </is>
      </c>
      <c r="C537">
        <f>IF(Items!B12="","",Items!A12)</f>
        <v/>
      </c>
      <c r="D537">
        <f>IF(Items!B12="","",Items!C12)</f>
        <v/>
      </c>
      <c r="F537">
        <f>IF(OR(Items!B12="",Items!D12=""),"",Items!D12)</f>
        <v/>
      </c>
      <c r="G537">
        <f>IF(Items!B12="","",Items!B12)</f>
        <v/>
      </c>
    </row>
    <row r="538">
      <c r="A538" t="inlineStr">
        <is>
          <t>attention</t>
        </is>
      </c>
      <c r="C538">
        <f>IF(Items!B13="","",Items!A13)</f>
        <v/>
      </c>
      <c r="D538">
        <f>IF(Items!B13="","",Items!C13)</f>
        <v/>
      </c>
      <c r="F538">
        <f>IF(OR(Items!B13="",Items!D13=""),"",Items!D13)</f>
        <v/>
      </c>
      <c r="G538">
        <f>IF(Items!B13="","",Items!B13)</f>
        <v/>
      </c>
    </row>
    <row r="539">
      <c r="A539" t="inlineStr">
        <is>
          <t>attention</t>
        </is>
      </c>
      <c r="C539">
        <f>IF(Items!B14="","",Items!A14)</f>
        <v/>
      </c>
      <c r="D539">
        <f>IF(Items!B14="","",Items!C14)</f>
        <v/>
      </c>
      <c r="F539">
        <f>IF(OR(Items!B14="",Items!D14=""),"",Items!D14)</f>
        <v/>
      </c>
      <c r="G539">
        <f>IF(Items!B14="","",Items!B14)</f>
        <v/>
      </c>
    </row>
    <row r="540">
      <c r="A540" t="inlineStr">
        <is>
          <t>attention</t>
        </is>
      </c>
      <c r="C540">
        <f>IF(Items!B15="","",Items!A15)</f>
        <v/>
      </c>
      <c r="D540">
        <f>IF(Items!B15="","",Items!C15)</f>
        <v/>
      </c>
      <c r="F540">
        <f>IF(OR(Items!B15="",Items!D15=""),"",Items!D15)</f>
        <v/>
      </c>
      <c r="G540">
        <f>IF(Items!B15="","",Items!B15)</f>
        <v/>
      </c>
    </row>
    <row r="541">
      <c r="A541" t="inlineStr">
        <is>
          <t>attention</t>
        </is>
      </c>
      <c r="C541">
        <f>IF(Items!B16="","",Items!A16)</f>
        <v/>
      </c>
      <c r="D541">
        <f>IF(Items!B16="","",Items!C16)</f>
        <v/>
      </c>
      <c r="F541">
        <f>IF(OR(Items!B16="",Items!D16=""),"",Items!D16)</f>
        <v/>
      </c>
      <c r="G541">
        <f>IF(Items!B16="","",Items!B16)</f>
        <v/>
      </c>
    </row>
    <row r="542">
      <c r="A542" t="inlineStr">
        <is>
          <t>attention</t>
        </is>
      </c>
      <c r="C542">
        <f>IF(Items!B17="","",Items!A17)</f>
        <v/>
      </c>
      <c r="D542">
        <f>IF(Items!B17="","",Items!C17)</f>
        <v/>
      </c>
      <c r="F542">
        <f>IF(OR(Items!B17="",Items!D17=""),"",Items!D17)</f>
        <v/>
      </c>
      <c r="G542">
        <f>IF(Items!B17="","",Items!B17)</f>
        <v/>
      </c>
    </row>
    <row r="543">
      <c r="A543" t="inlineStr">
        <is>
          <t>attention</t>
        </is>
      </c>
      <c r="C543">
        <f>IF(Items!B18="","",Items!A18)</f>
        <v/>
      </c>
      <c r="D543">
        <f>IF(Items!B18="","",Items!C18)</f>
        <v/>
      </c>
      <c r="F543">
        <f>IF(OR(Items!B18="",Items!D18=""),"",Items!D18)</f>
        <v/>
      </c>
      <c r="G543">
        <f>IF(Items!B18="","",Items!B18)</f>
        <v/>
      </c>
    </row>
    <row r="544">
      <c r="A544" t="inlineStr">
        <is>
          <t>attention</t>
        </is>
      </c>
      <c r="C544">
        <f>IF(Items!B19="","",Items!A19)</f>
        <v/>
      </c>
      <c r="D544">
        <f>IF(Items!B19="","",Items!C19)</f>
        <v/>
      </c>
      <c r="F544">
        <f>IF(OR(Items!B19="",Items!D19=""),"",Items!D19)</f>
        <v/>
      </c>
      <c r="G544">
        <f>IF(Items!B19="","",Items!B19)</f>
        <v/>
      </c>
    </row>
    <row r="545">
      <c r="A545" t="inlineStr">
        <is>
          <t>attention</t>
        </is>
      </c>
      <c r="C545">
        <f>IF(Items!B20="","",Items!A20)</f>
        <v/>
      </c>
      <c r="D545">
        <f>IF(Items!B20="","",Items!C20)</f>
        <v/>
      </c>
      <c r="F545">
        <f>IF(OR(Items!B20="",Items!D20=""),"",Items!D20)</f>
        <v/>
      </c>
      <c r="G545">
        <f>IF(Items!B20="","",Items!B20)</f>
        <v/>
      </c>
    </row>
    <row r="546">
      <c r="A546" t="inlineStr">
        <is>
          <t>attention</t>
        </is>
      </c>
      <c r="C546">
        <f>IF(Items!B21="","",Items!A21)</f>
        <v/>
      </c>
      <c r="D546">
        <f>IF(Items!B21="","",Items!C21)</f>
        <v/>
      </c>
      <c r="F546">
        <f>IF(OR(Items!B21="",Items!D21=""),"",Items!D21)</f>
        <v/>
      </c>
      <c r="G546">
        <f>IF(Items!B21="","",Items!B21)</f>
        <v/>
      </c>
    </row>
    <row r="547">
      <c r="A547" t="inlineStr">
        <is>
          <t>attention</t>
        </is>
      </c>
      <c r="C547">
        <f>IF(Items!B22="","",Items!A22)</f>
        <v/>
      </c>
      <c r="D547">
        <f>IF(Items!B22="","",Items!C22)</f>
        <v/>
      </c>
      <c r="F547">
        <f>IF(OR(Items!B22="",Items!D22=""),"",Items!D22)</f>
        <v/>
      </c>
      <c r="G547">
        <f>IF(Items!B22="","",Items!B22)</f>
        <v/>
      </c>
    </row>
    <row r="548">
      <c r="A548" t="inlineStr">
        <is>
          <t>attention</t>
        </is>
      </c>
      <c r="C548">
        <f>IF(Items!B23="","",Items!A23)</f>
        <v/>
      </c>
      <c r="D548">
        <f>IF(Items!B23="","",Items!C23)</f>
        <v/>
      </c>
      <c r="F548">
        <f>IF(OR(Items!B23="",Items!D23=""),"",Items!D23)</f>
        <v/>
      </c>
      <c r="G548">
        <f>IF(Items!B23="","",Items!B23)</f>
        <v/>
      </c>
    </row>
    <row r="549">
      <c r="A549" t="inlineStr">
        <is>
          <t>attention</t>
        </is>
      </c>
      <c r="C549">
        <f>IF(Items!B24="","",Items!A24)</f>
        <v/>
      </c>
      <c r="D549">
        <f>IF(Items!B24="","",Items!C24)</f>
        <v/>
      </c>
      <c r="F549">
        <f>IF(OR(Items!B24="",Items!D24=""),"",Items!D24)</f>
        <v/>
      </c>
      <c r="G549">
        <f>IF(Items!B24="","",Items!B24)</f>
        <v/>
      </c>
    </row>
    <row r="550">
      <c r="A550" t="inlineStr">
        <is>
          <t>attention</t>
        </is>
      </c>
      <c r="C550">
        <f>IF(Items!B25="","",Items!A25)</f>
        <v/>
      </c>
      <c r="D550">
        <f>IF(Items!B25="","",Items!C25)</f>
        <v/>
      </c>
      <c r="F550">
        <f>IF(OR(Items!B25="",Items!D25=""),"",Items!D25)</f>
        <v/>
      </c>
      <c r="G550">
        <f>IF(Items!B25="","",Items!B25)</f>
        <v/>
      </c>
    </row>
    <row r="551">
      <c r="A551" t="inlineStr">
        <is>
          <t>attention</t>
        </is>
      </c>
      <c r="C551">
        <f>IF(Items!B26="","",Items!A26)</f>
        <v/>
      </c>
      <c r="D551">
        <f>IF(Items!B26="","",Items!C26)</f>
        <v/>
      </c>
      <c r="F551">
        <f>IF(OR(Items!B26="",Items!D26=""),"",Items!D26)</f>
        <v/>
      </c>
      <c r="G551">
        <f>IF(Items!B26="","",Items!B26)</f>
        <v/>
      </c>
    </row>
    <row r="552">
      <c r="A552" t="inlineStr">
        <is>
          <t>attention</t>
        </is>
      </c>
      <c r="C552">
        <f>IF(Items!B27="","",Items!A27)</f>
        <v/>
      </c>
      <c r="D552">
        <f>IF(Items!B27="","",Items!C27)</f>
        <v/>
      </c>
      <c r="F552">
        <f>IF(OR(Items!B27="",Items!D27=""),"",Items!D27)</f>
        <v/>
      </c>
      <c r="G552">
        <f>IF(Items!B27="","",Items!B27)</f>
        <v/>
      </c>
    </row>
    <row r="553">
      <c r="A553" t="inlineStr">
        <is>
          <t>attention</t>
        </is>
      </c>
      <c r="C553">
        <f>IF(Items!B28="","",Items!A28)</f>
        <v/>
      </c>
      <c r="D553">
        <f>IF(Items!B28="","",Items!C28)</f>
        <v/>
      </c>
      <c r="F553">
        <f>IF(OR(Items!B28="",Items!D28=""),"",Items!D28)</f>
        <v/>
      </c>
      <c r="G553">
        <f>IF(Items!B28="","",Items!B28)</f>
        <v/>
      </c>
    </row>
    <row r="554">
      <c r="A554" t="inlineStr">
        <is>
          <t>attention</t>
        </is>
      </c>
      <c r="C554">
        <f>IF(Items!B29="","",Items!A29)</f>
        <v/>
      </c>
      <c r="D554">
        <f>IF(Items!B29="","",Items!C29)</f>
        <v/>
      </c>
      <c r="F554">
        <f>IF(OR(Items!B29="",Items!D29=""),"",Items!D29)</f>
        <v/>
      </c>
      <c r="G554">
        <f>IF(Items!B29="","",Items!B29)</f>
        <v/>
      </c>
    </row>
    <row r="555">
      <c r="A555" t="inlineStr">
        <is>
          <t>attention</t>
        </is>
      </c>
      <c r="C555">
        <f>IF(Items!B30="","",Items!A30)</f>
        <v/>
      </c>
      <c r="D555">
        <f>IF(Items!B30="","",Items!C30)</f>
        <v/>
      </c>
      <c r="F555">
        <f>IF(OR(Items!B30="",Items!D30=""),"",Items!D30)</f>
        <v/>
      </c>
      <c r="G555">
        <f>IF(Items!B30="","",Items!B30)</f>
        <v/>
      </c>
    </row>
    <row r="556">
      <c r="A556" t="inlineStr">
        <is>
          <t>attention</t>
        </is>
      </c>
      <c r="C556">
        <f>IF(Items!B31="","",Items!A31)</f>
        <v/>
      </c>
      <c r="D556">
        <f>IF(Items!B31="","",Items!C31)</f>
        <v/>
      </c>
      <c r="F556">
        <f>IF(OR(Items!B31="",Items!D31=""),"",Items!D31)</f>
        <v/>
      </c>
      <c r="G556">
        <f>IF(Items!B31="","",Items!B31)</f>
        <v/>
      </c>
    </row>
    <row r="557">
      <c r="A557" t="inlineStr">
        <is>
          <t>attention</t>
        </is>
      </c>
      <c r="C557">
        <f>IF(Items!B32="","",Items!A32)</f>
        <v/>
      </c>
      <c r="D557">
        <f>IF(Items!B32="","",Items!C32)</f>
        <v/>
      </c>
      <c r="F557">
        <f>IF(OR(Items!B32="",Items!D32=""),"",Items!D32)</f>
        <v/>
      </c>
      <c r="G557">
        <f>IF(Items!B32="","",Items!B32)</f>
        <v/>
      </c>
    </row>
    <row r="558">
      <c r="A558" t="inlineStr">
        <is>
          <t>attention</t>
        </is>
      </c>
      <c r="C558">
        <f>IF(Items!B33="","",Items!A33)</f>
        <v/>
      </c>
      <c r="D558">
        <f>IF(Items!B33="","",Items!C33)</f>
        <v/>
      </c>
      <c r="F558">
        <f>IF(OR(Items!B33="",Items!D33=""),"",Items!D33)</f>
        <v/>
      </c>
      <c r="G558">
        <f>IF(Items!B33="","",Items!B33)</f>
        <v/>
      </c>
    </row>
    <row r="559">
      <c r="A559" t="inlineStr">
        <is>
          <t>attention</t>
        </is>
      </c>
      <c r="C559">
        <f>IF(Items!B34="","",Items!A34)</f>
        <v/>
      </c>
      <c r="D559">
        <f>IF(Items!B34="","",Items!C34)</f>
        <v/>
      </c>
      <c r="F559">
        <f>IF(OR(Items!B34="",Items!D34=""),"",Items!D34)</f>
        <v/>
      </c>
      <c r="G559">
        <f>IF(Items!B34="","",Items!B34)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tools/make_cio_template.py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2026-09-20T05:14:27Z</dcterms:modified>
</cp:coreProperties>
</file>