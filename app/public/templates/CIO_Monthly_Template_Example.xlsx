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LACERA\app\public\templates\"/>
    </mc:Choice>
  </mc:AlternateContent>
  <xr:revisionPtr revIDLastSave="0" documentId="8_{DBAED553-56E5-415F-A075-75C61F470708}" xr6:coauthVersionLast="47" xr6:coauthVersionMax="47" xr10:uidLastSave="{00000000-0000-0000-0000-000000000000}"/>
  <bookViews>
    <workbookView xWindow="8685" yWindow="2490" windowWidth="28800" windowHeight="15270" xr2:uid="{00000000-000D-0000-FFFF-FFFF00000000}"/>
  </bookViews>
  <sheets>
    <sheet name="Start" sheetId="1" r:id="rId1"/>
    <sheet name="Report" sheetId="2" r:id="rId2"/>
    <sheet name="Pension" sheetId="3" r:id="rId3"/>
    <sheet name="OPEB" sheetId="4" r:id="rId4"/>
    <sheet name="Markets" sheetId="5" r:id="rId5"/>
    <sheet name="Macro" sheetId="6" r:id="rId6"/>
    <sheet name="Items" sheetId="7" r:id="rId7"/>
    <sheet name="Checks" sheetId="8" r:id="rId8"/>
    <sheet name="Ex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9" i="9" l="1"/>
  <c r="F559" i="9"/>
  <c r="D559" i="9"/>
  <c r="C559" i="9"/>
  <c r="G558" i="9"/>
  <c r="F558" i="9"/>
  <c r="D558" i="9"/>
  <c r="C558" i="9"/>
  <c r="G557" i="9"/>
  <c r="F557" i="9"/>
  <c r="D557" i="9"/>
  <c r="C557" i="9"/>
  <c r="G556" i="9"/>
  <c r="F556" i="9"/>
  <c r="D556" i="9"/>
  <c r="C556" i="9"/>
  <c r="G555" i="9"/>
  <c r="F555" i="9"/>
  <c r="D555" i="9"/>
  <c r="C555" i="9"/>
  <c r="G554" i="9"/>
  <c r="F554" i="9"/>
  <c r="D554" i="9"/>
  <c r="C554" i="9"/>
  <c r="G553" i="9"/>
  <c r="F553" i="9"/>
  <c r="D553" i="9"/>
  <c r="C553" i="9"/>
  <c r="G552" i="9"/>
  <c r="F552" i="9"/>
  <c r="D552" i="9"/>
  <c r="C552" i="9"/>
  <c r="G551" i="9"/>
  <c r="F551" i="9"/>
  <c r="D551" i="9"/>
  <c r="C551" i="9"/>
  <c r="G550" i="9"/>
  <c r="F550" i="9"/>
  <c r="D550" i="9"/>
  <c r="C550" i="9"/>
  <c r="G549" i="9"/>
  <c r="F549" i="9"/>
  <c r="D549" i="9"/>
  <c r="C549" i="9"/>
  <c r="G548" i="9"/>
  <c r="F548" i="9"/>
  <c r="D548" i="9"/>
  <c r="C548" i="9"/>
  <c r="G547" i="9"/>
  <c r="F547" i="9"/>
  <c r="D547" i="9"/>
  <c r="C547" i="9"/>
  <c r="G546" i="9"/>
  <c r="F546" i="9"/>
  <c r="D546" i="9"/>
  <c r="C546" i="9"/>
  <c r="G545" i="9"/>
  <c r="F545" i="9"/>
  <c r="D545" i="9"/>
  <c r="C545" i="9"/>
  <c r="G544" i="9"/>
  <c r="F544" i="9"/>
  <c r="D544" i="9"/>
  <c r="C544" i="9"/>
  <c r="G543" i="9"/>
  <c r="F543" i="9"/>
  <c r="D543" i="9"/>
  <c r="C543" i="9"/>
  <c r="G542" i="9"/>
  <c r="F542" i="9"/>
  <c r="D542" i="9"/>
  <c r="C542" i="9"/>
  <c r="G541" i="9"/>
  <c r="F541" i="9"/>
  <c r="D541" i="9"/>
  <c r="C541" i="9"/>
  <c r="G540" i="9"/>
  <c r="F540" i="9"/>
  <c r="D540" i="9"/>
  <c r="C540" i="9"/>
  <c r="G539" i="9"/>
  <c r="F539" i="9"/>
  <c r="D539" i="9"/>
  <c r="C539" i="9"/>
  <c r="G538" i="9"/>
  <c r="F538" i="9"/>
  <c r="D538" i="9"/>
  <c r="C538" i="9"/>
  <c r="G537" i="9"/>
  <c r="F537" i="9"/>
  <c r="D537" i="9"/>
  <c r="C537" i="9"/>
  <c r="G536" i="9"/>
  <c r="F536" i="9"/>
  <c r="D536" i="9"/>
  <c r="C536" i="9"/>
  <c r="G535" i="9"/>
  <c r="F535" i="9"/>
  <c r="D535" i="9"/>
  <c r="C535" i="9"/>
  <c r="G534" i="9"/>
  <c r="F534" i="9"/>
  <c r="D534" i="9"/>
  <c r="C534" i="9"/>
  <c r="G533" i="9"/>
  <c r="F533" i="9"/>
  <c r="D533" i="9"/>
  <c r="C533" i="9"/>
  <c r="G532" i="9"/>
  <c r="F532" i="9"/>
  <c r="D532" i="9"/>
  <c r="C532" i="9"/>
  <c r="G531" i="9"/>
  <c r="F531" i="9"/>
  <c r="D531" i="9"/>
  <c r="C531" i="9"/>
  <c r="G530" i="9"/>
  <c r="F530" i="9"/>
  <c r="D530" i="9"/>
  <c r="C530" i="9"/>
  <c r="G529" i="9"/>
  <c r="C529" i="9"/>
  <c r="G528" i="9"/>
  <c r="C528" i="9"/>
  <c r="G527" i="9"/>
  <c r="C527" i="9"/>
  <c r="G526" i="9"/>
  <c r="C526" i="9"/>
  <c r="G525" i="9"/>
  <c r="C525" i="9"/>
  <c r="G524" i="9"/>
  <c r="C524" i="9"/>
  <c r="G523" i="9"/>
  <c r="C523" i="9"/>
  <c r="G522" i="9"/>
  <c r="C522" i="9"/>
  <c r="G521" i="9"/>
  <c r="C521" i="9"/>
  <c r="G520" i="9"/>
  <c r="C520" i="9"/>
  <c r="G519" i="9"/>
  <c r="C519" i="9"/>
  <c r="G518" i="9"/>
  <c r="C518" i="9"/>
  <c r="G517" i="9"/>
  <c r="C517" i="9"/>
  <c r="G516" i="9"/>
  <c r="C516" i="9"/>
  <c r="G515" i="9"/>
  <c r="C515" i="9"/>
  <c r="G514" i="9"/>
  <c r="C514" i="9"/>
  <c r="F513" i="9"/>
  <c r="C513" i="9"/>
  <c r="F512" i="9"/>
  <c r="C512" i="9"/>
  <c r="F511" i="9"/>
  <c r="C511" i="9"/>
  <c r="F510" i="9"/>
  <c r="C510" i="9"/>
  <c r="F509" i="9"/>
  <c r="C509" i="9"/>
  <c r="F508" i="9"/>
  <c r="C508" i="9"/>
  <c r="F507" i="9"/>
  <c r="C507" i="9"/>
  <c r="F506" i="9"/>
  <c r="C506" i="9"/>
  <c r="G505" i="9"/>
  <c r="C505" i="9"/>
  <c r="G504" i="9"/>
  <c r="C504" i="9"/>
  <c r="F503" i="9"/>
  <c r="C503" i="9"/>
  <c r="F502" i="9"/>
  <c r="C502" i="9"/>
  <c r="F501" i="9"/>
  <c r="C501" i="9"/>
  <c r="F500" i="9"/>
  <c r="C500" i="9"/>
  <c r="F499" i="9"/>
  <c r="C499" i="9"/>
  <c r="F498" i="9"/>
  <c r="C498" i="9"/>
  <c r="F497" i="9"/>
  <c r="C497" i="9"/>
  <c r="F496" i="9"/>
  <c r="C496" i="9"/>
  <c r="G495" i="9"/>
  <c r="C495" i="9"/>
  <c r="G494" i="9"/>
  <c r="C494" i="9"/>
  <c r="F493" i="9"/>
  <c r="C493" i="9"/>
  <c r="F492" i="9"/>
  <c r="C492" i="9"/>
  <c r="F491" i="9"/>
  <c r="C491" i="9"/>
  <c r="F490" i="9"/>
  <c r="C490" i="9"/>
  <c r="F489" i="9"/>
  <c r="C489" i="9"/>
  <c r="F488" i="9"/>
  <c r="C488" i="9"/>
  <c r="F487" i="9"/>
  <c r="C487" i="9"/>
  <c r="F486" i="9"/>
  <c r="C486" i="9"/>
  <c r="G485" i="9"/>
  <c r="C485" i="9"/>
  <c r="G484" i="9"/>
  <c r="C484" i="9"/>
  <c r="F483" i="9"/>
  <c r="C483" i="9"/>
  <c r="F482" i="9"/>
  <c r="C482" i="9"/>
  <c r="F481" i="9"/>
  <c r="C481" i="9"/>
  <c r="F480" i="9"/>
  <c r="C480" i="9"/>
  <c r="F479" i="9"/>
  <c r="C479" i="9"/>
  <c r="F478" i="9"/>
  <c r="C478" i="9"/>
  <c r="F477" i="9"/>
  <c r="C477" i="9"/>
  <c r="F476" i="9"/>
  <c r="C476" i="9"/>
  <c r="G475" i="9"/>
  <c r="C475" i="9"/>
  <c r="G474" i="9"/>
  <c r="C474" i="9"/>
  <c r="F473" i="9"/>
  <c r="C473" i="9"/>
  <c r="F472" i="9"/>
  <c r="C472" i="9"/>
  <c r="F471" i="9"/>
  <c r="C471" i="9"/>
  <c r="F470" i="9"/>
  <c r="C470" i="9"/>
  <c r="F469" i="9"/>
  <c r="C469" i="9"/>
  <c r="F468" i="9"/>
  <c r="C468" i="9"/>
  <c r="F467" i="9"/>
  <c r="C467" i="9"/>
  <c r="F466" i="9"/>
  <c r="C466" i="9"/>
  <c r="G465" i="9"/>
  <c r="C465" i="9"/>
  <c r="G464" i="9"/>
  <c r="C464" i="9"/>
  <c r="F463" i="9"/>
  <c r="C463" i="9"/>
  <c r="F462" i="9"/>
  <c r="C462" i="9"/>
  <c r="F461" i="9"/>
  <c r="C461" i="9"/>
  <c r="F460" i="9"/>
  <c r="C460" i="9"/>
  <c r="F459" i="9"/>
  <c r="C459" i="9"/>
  <c r="F458" i="9"/>
  <c r="C458" i="9"/>
  <c r="F457" i="9"/>
  <c r="C457" i="9"/>
  <c r="F456" i="9"/>
  <c r="C456" i="9"/>
  <c r="G455" i="9"/>
  <c r="C455" i="9"/>
  <c r="G454" i="9"/>
  <c r="C454" i="9"/>
  <c r="F453" i="9"/>
  <c r="C453" i="9"/>
  <c r="F452" i="9"/>
  <c r="C452" i="9"/>
  <c r="F451" i="9"/>
  <c r="C451" i="9"/>
  <c r="F450" i="9"/>
  <c r="C450" i="9"/>
  <c r="F449" i="9"/>
  <c r="C449" i="9"/>
  <c r="F448" i="9"/>
  <c r="C448" i="9"/>
  <c r="F447" i="9"/>
  <c r="C447" i="9"/>
  <c r="F446" i="9"/>
  <c r="C446" i="9"/>
  <c r="G445" i="9"/>
  <c r="C445" i="9"/>
  <c r="G444" i="9"/>
  <c r="C444" i="9"/>
  <c r="F443" i="9"/>
  <c r="C443" i="9"/>
  <c r="F442" i="9"/>
  <c r="C442" i="9"/>
  <c r="F441" i="9"/>
  <c r="C441" i="9"/>
  <c r="F440" i="9"/>
  <c r="C440" i="9"/>
  <c r="F439" i="9"/>
  <c r="C439" i="9"/>
  <c r="F438" i="9"/>
  <c r="C438" i="9"/>
  <c r="F437" i="9"/>
  <c r="C437" i="9"/>
  <c r="F436" i="9"/>
  <c r="C436" i="9"/>
  <c r="G435" i="9"/>
  <c r="C435" i="9"/>
  <c r="G434" i="9"/>
  <c r="C434" i="9"/>
  <c r="F433" i="9"/>
  <c r="C433" i="9"/>
  <c r="F432" i="9"/>
  <c r="C432" i="9"/>
  <c r="F431" i="9"/>
  <c r="C431" i="9"/>
  <c r="F430" i="9"/>
  <c r="C430" i="9"/>
  <c r="F429" i="9"/>
  <c r="C429" i="9"/>
  <c r="F428" i="9"/>
  <c r="C428" i="9"/>
  <c r="F427" i="9"/>
  <c r="C427" i="9"/>
  <c r="F426" i="9"/>
  <c r="C426" i="9"/>
  <c r="G425" i="9"/>
  <c r="C425" i="9"/>
  <c r="G424" i="9"/>
  <c r="C424" i="9"/>
  <c r="F423" i="9"/>
  <c r="C423" i="9"/>
  <c r="F422" i="9"/>
  <c r="C422" i="9"/>
  <c r="F421" i="9"/>
  <c r="C421" i="9"/>
  <c r="F420" i="9"/>
  <c r="C420" i="9"/>
  <c r="F419" i="9"/>
  <c r="C419" i="9"/>
  <c r="F418" i="9"/>
  <c r="C418" i="9"/>
  <c r="F417" i="9"/>
  <c r="C417" i="9"/>
  <c r="F416" i="9"/>
  <c r="C416" i="9"/>
  <c r="G415" i="9"/>
  <c r="C415" i="9"/>
  <c r="G414" i="9"/>
  <c r="C414" i="9"/>
  <c r="F413" i="9"/>
  <c r="C413" i="9"/>
  <c r="F412" i="9"/>
  <c r="C412" i="9"/>
  <c r="F411" i="9"/>
  <c r="C411" i="9"/>
  <c r="F410" i="9"/>
  <c r="C410" i="9"/>
  <c r="F409" i="9"/>
  <c r="C409" i="9"/>
  <c r="F408" i="9"/>
  <c r="C408" i="9"/>
  <c r="F407" i="9"/>
  <c r="C407" i="9"/>
  <c r="F406" i="9"/>
  <c r="C406" i="9"/>
  <c r="G405" i="9"/>
  <c r="C405" i="9"/>
  <c r="G404" i="9"/>
  <c r="C404" i="9"/>
  <c r="F403" i="9"/>
  <c r="C403" i="9"/>
  <c r="F402" i="9"/>
  <c r="C402" i="9"/>
  <c r="F401" i="9"/>
  <c r="C401" i="9"/>
  <c r="F400" i="9"/>
  <c r="C400" i="9"/>
  <c r="F399" i="9"/>
  <c r="C399" i="9"/>
  <c r="F398" i="9"/>
  <c r="C398" i="9"/>
  <c r="F397" i="9"/>
  <c r="C397" i="9"/>
  <c r="F396" i="9"/>
  <c r="C396" i="9"/>
  <c r="G395" i="9"/>
  <c r="C395" i="9"/>
  <c r="G394" i="9"/>
  <c r="C394" i="9"/>
  <c r="F393" i="9"/>
  <c r="C393" i="9"/>
  <c r="F392" i="9"/>
  <c r="C392" i="9"/>
  <c r="F391" i="9"/>
  <c r="C391" i="9"/>
  <c r="F390" i="9"/>
  <c r="C390" i="9"/>
  <c r="F389" i="9"/>
  <c r="C389" i="9"/>
  <c r="F388" i="9"/>
  <c r="C388" i="9"/>
  <c r="F387" i="9"/>
  <c r="C387" i="9"/>
  <c r="F386" i="9"/>
  <c r="C386" i="9"/>
  <c r="G385" i="9"/>
  <c r="C385" i="9"/>
  <c r="G384" i="9"/>
  <c r="C384" i="9"/>
  <c r="F383" i="9"/>
  <c r="C383" i="9"/>
  <c r="F382" i="9"/>
  <c r="C382" i="9"/>
  <c r="F381" i="9"/>
  <c r="C381" i="9"/>
  <c r="F380" i="9"/>
  <c r="C380" i="9"/>
  <c r="F379" i="9"/>
  <c r="C379" i="9"/>
  <c r="F378" i="9"/>
  <c r="C378" i="9"/>
  <c r="F377" i="9"/>
  <c r="C377" i="9"/>
  <c r="F376" i="9"/>
  <c r="C376" i="9"/>
  <c r="G375" i="9"/>
  <c r="C375" i="9"/>
  <c r="G374" i="9"/>
  <c r="C374" i="9"/>
  <c r="F373" i="9"/>
  <c r="C373" i="9"/>
  <c r="F372" i="9"/>
  <c r="C372" i="9"/>
  <c r="F371" i="9"/>
  <c r="C371" i="9"/>
  <c r="F370" i="9"/>
  <c r="C370" i="9"/>
  <c r="F369" i="9"/>
  <c r="C369" i="9"/>
  <c r="F368" i="9"/>
  <c r="C368" i="9"/>
  <c r="F367" i="9"/>
  <c r="C367" i="9"/>
  <c r="F366" i="9"/>
  <c r="C366" i="9"/>
  <c r="G365" i="9"/>
  <c r="C365" i="9"/>
  <c r="G364" i="9"/>
  <c r="C364" i="9"/>
  <c r="F363" i="9"/>
  <c r="C363" i="9"/>
  <c r="F362" i="9"/>
  <c r="C362" i="9"/>
  <c r="F361" i="9"/>
  <c r="C361" i="9"/>
  <c r="F360" i="9"/>
  <c r="C360" i="9"/>
  <c r="F359" i="9"/>
  <c r="C359" i="9"/>
  <c r="F358" i="9"/>
  <c r="C358" i="9"/>
  <c r="F357" i="9"/>
  <c r="C357" i="9"/>
  <c r="F356" i="9"/>
  <c r="C356" i="9"/>
  <c r="G355" i="9"/>
  <c r="C355" i="9"/>
  <c r="G354" i="9"/>
  <c r="C354" i="9"/>
  <c r="F353" i="9"/>
  <c r="C353" i="9"/>
  <c r="F352" i="9"/>
  <c r="C352" i="9"/>
  <c r="F351" i="9"/>
  <c r="C351" i="9"/>
  <c r="F350" i="9"/>
  <c r="C350" i="9"/>
  <c r="F349" i="9"/>
  <c r="C349" i="9"/>
  <c r="F348" i="9"/>
  <c r="C348" i="9"/>
  <c r="F347" i="9"/>
  <c r="C347" i="9"/>
  <c r="F346" i="9"/>
  <c r="C346" i="9"/>
  <c r="G345" i="9"/>
  <c r="C345" i="9"/>
  <c r="G344" i="9"/>
  <c r="C344" i="9"/>
  <c r="F343" i="9"/>
  <c r="C343" i="9"/>
  <c r="F342" i="9"/>
  <c r="C342" i="9"/>
  <c r="F341" i="9"/>
  <c r="C341" i="9"/>
  <c r="F340" i="9"/>
  <c r="C340" i="9"/>
  <c r="F339" i="9"/>
  <c r="C339" i="9"/>
  <c r="F338" i="9"/>
  <c r="C338" i="9"/>
  <c r="F337" i="9"/>
  <c r="C337" i="9"/>
  <c r="F336" i="9"/>
  <c r="C336" i="9"/>
  <c r="G335" i="9"/>
  <c r="C335" i="9"/>
  <c r="G334" i="9"/>
  <c r="C334" i="9"/>
  <c r="F333" i="9"/>
  <c r="C333" i="9"/>
  <c r="F332" i="9"/>
  <c r="C332" i="9"/>
  <c r="F331" i="9"/>
  <c r="C331" i="9"/>
  <c r="F330" i="9"/>
  <c r="C330" i="9"/>
  <c r="F329" i="9"/>
  <c r="C329" i="9"/>
  <c r="F328" i="9"/>
  <c r="C328" i="9"/>
  <c r="F327" i="9"/>
  <c r="C327" i="9"/>
  <c r="F326" i="9"/>
  <c r="C326" i="9"/>
  <c r="G325" i="9"/>
  <c r="C325" i="9"/>
  <c r="G324" i="9"/>
  <c r="C324" i="9"/>
  <c r="F323" i="9"/>
  <c r="C323" i="9"/>
  <c r="F322" i="9"/>
  <c r="C322" i="9"/>
  <c r="F321" i="9"/>
  <c r="C321" i="9"/>
  <c r="F320" i="9"/>
  <c r="C320" i="9"/>
  <c r="F319" i="9"/>
  <c r="C319" i="9"/>
  <c r="F318" i="9"/>
  <c r="C318" i="9"/>
  <c r="F317" i="9"/>
  <c r="C317" i="9"/>
  <c r="F316" i="9"/>
  <c r="C316" i="9"/>
  <c r="G315" i="9"/>
  <c r="C315" i="9"/>
  <c r="G314" i="9"/>
  <c r="C314" i="9"/>
  <c r="G313" i="9"/>
  <c r="F313" i="9"/>
  <c r="C313" i="9"/>
  <c r="G312" i="9"/>
  <c r="F312" i="9"/>
  <c r="C312" i="9"/>
  <c r="G311" i="9"/>
  <c r="F311" i="9"/>
  <c r="C311" i="9"/>
  <c r="G310" i="9"/>
  <c r="F310" i="9"/>
  <c r="C310" i="9"/>
  <c r="G309" i="9"/>
  <c r="F309" i="9"/>
  <c r="C309" i="9"/>
  <c r="G308" i="9"/>
  <c r="F308" i="9"/>
  <c r="C308" i="9"/>
  <c r="G307" i="9"/>
  <c r="F307" i="9"/>
  <c r="C307" i="9"/>
  <c r="G306" i="9"/>
  <c r="F306" i="9"/>
  <c r="C306" i="9"/>
  <c r="G305" i="9"/>
  <c r="F305" i="9"/>
  <c r="C305" i="9"/>
  <c r="G304" i="9"/>
  <c r="F304" i="9"/>
  <c r="C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C278" i="9"/>
  <c r="F277" i="9"/>
  <c r="C277" i="9"/>
  <c r="F276" i="9"/>
  <c r="C276" i="9"/>
  <c r="F275" i="9"/>
  <c r="C275" i="9"/>
  <c r="F274" i="9"/>
  <c r="C274" i="9"/>
  <c r="F273" i="9"/>
  <c r="C273" i="9"/>
  <c r="F272" i="9"/>
  <c r="C272" i="9"/>
  <c r="F271" i="9"/>
  <c r="C271" i="9"/>
  <c r="F270" i="9"/>
  <c r="F269" i="9"/>
  <c r="F268" i="9"/>
  <c r="G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G159" i="9"/>
  <c r="F159" i="9"/>
  <c r="C159" i="9"/>
  <c r="G158" i="9"/>
  <c r="F158" i="9"/>
  <c r="C158" i="9"/>
  <c r="G157" i="9"/>
  <c r="F157" i="9"/>
  <c r="C157" i="9"/>
  <c r="G156" i="9"/>
  <c r="F156" i="9"/>
  <c r="C156" i="9"/>
  <c r="G155" i="9"/>
  <c r="F155" i="9"/>
  <c r="C155" i="9"/>
  <c r="G154" i="9"/>
  <c r="F154" i="9"/>
  <c r="C154" i="9"/>
  <c r="G153" i="9"/>
  <c r="F153" i="9"/>
  <c r="C153" i="9"/>
  <c r="G152" i="9"/>
  <c r="F152" i="9"/>
  <c r="C152" i="9"/>
  <c r="G151" i="9"/>
  <c r="F151" i="9"/>
  <c r="C151" i="9"/>
  <c r="G150" i="9"/>
  <c r="F150" i="9"/>
  <c r="C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C124" i="9"/>
  <c r="F123" i="9"/>
  <c r="C123" i="9"/>
  <c r="F122" i="9"/>
  <c r="C122" i="9"/>
  <c r="F121" i="9"/>
  <c r="C121" i="9"/>
  <c r="F120" i="9"/>
  <c r="C120" i="9"/>
  <c r="F119" i="9"/>
  <c r="C119" i="9"/>
  <c r="F118" i="9"/>
  <c r="C118" i="9"/>
  <c r="F117" i="9"/>
  <c r="C117" i="9"/>
  <c r="F116" i="9"/>
  <c r="F115" i="9"/>
  <c r="F114" i="9"/>
  <c r="G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G5" i="9"/>
  <c r="G4" i="9"/>
  <c r="G3" i="9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C26" i="8" s="1"/>
  <c r="B5" i="8"/>
  <c r="F27" i="4"/>
  <c r="D27" i="4"/>
  <c r="C27" i="4"/>
  <c r="F27" i="3"/>
  <c r="D27" i="3"/>
  <c r="C27" i="3"/>
</calcChain>
</file>

<file path=xl/sharedStrings.xml><?xml version="1.0" encoding="utf-8"?>
<sst xmlns="http://schemas.openxmlformats.org/spreadsheetml/2006/main" count="2337" uniqueCount="286">
  <si>
    <t>CIO Monthly — input template</t>
  </si>
  <si>
    <t>Fills the CIO Monthly slides on the dashboard without the published PDF.</t>
  </si>
  <si>
    <t>1. Fill the yellow cells on Report, Pension, OPEB, Markets, Macro and Items.</t>
  </si>
  <si>
    <t xml:space="preserve">   Percent as printed (0.1 means 0.1%); money in $ millions. Leave a cell empty when the report has no figure.</t>
  </si>
  <si>
    <t>2. Open Checks: every line should say OK.</t>
  </si>
  <si>
    <t>3. Open Export, then File &gt; Save As &gt; "CSV UTF-8 (Comma delimited)". Excel saves only the Export tab.</t>
  </si>
  <si>
    <t>4. On the dashboard's CIO Monthly tab choose "Open a template file" and pick the CSV.</t>
  </si>
  <si>
    <t xml:space="preserve">   It is read in your browser only: nothing is uploaded, and it is cleared when you close or reload the page.</t>
  </si>
  <si>
    <t>Before LACERA publishes a report, its figures are confidential. Keep this workbook and its CSV on your</t>
  </si>
  <si>
    <t>team's systems. Do not use the GitHub "CIO report" form for them, and do not send them to AI tools.</t>
  </si>
  <si>
    <t>Format cio-template-1. Column meanings: docs/cio-template.md in the project on GitHub.</t>
  </si>
  <si>
    <t>Report</t>
  </si>
  <si>
    <t>Dates as YYYY-MM-DD. Data through is the month end the fund figures are as of.</t>
  </si>
  <si>
    <t>Report (meeting) date</t>
  </si>
  <si>
    <t>Data through (month end)</t>
  </si>
  <si>
    <t>Market table as of</t>
  </si>
  <si>
    <t>Pension</t>
  </si>
  <si>
    <t>Yellow cells are inputs. Percent as printed (0.1 means 0.1%); money in $ millions.</t>
  </si>
  <si>
    <t>Total market value ($ millions)</t>
  </si>
  <si>
    <t>Cash and equivalents ($ millions)</t>
  </si>
  <si>
    <t>Growth of $1, trailing 5 years (optional)</t>
  </si>
  <si>
    <t>Performance (% net of fees)</t>
  </si>
  <si>
    <t>1M</t>
  </si>
  <si>
    <t>3M</t>
  </si>
  <si>
    <t>FYTD</t>
  </si>
  <si>
    <t>YTD</t>
  </si>
  <si>
    <t>1Y</t>
  </si>
  <si>
    <t>3Y</t>
  </si>
  <si>
    <t>5Y</t>
  </si>
  <si>
    <t>10Y</t>
  </si>
  <si>
    <t>Total Fund — net return</t>
  </si>
  <si>
    <t>Total Fund — policy benchmark</t>
  </si>
  <si>
    <t>Total Fund — actuarial hurdle</t>
  </si>
  <si>
    <t>Growth — return</t>
  </si>
  <si>
    <t>Growth — benchmark</t>
  </si>
  <si>
    <t>Credit — return</t>
  </si>
  <si>
    <t>Credit — benchmark</t>
  </si>
  <si>
    <t>Real Assets &amp; Inflation Hedges — return</t>
  </si>
  <si>
    <t>Real Assets &amp; Inflation Hedges — benchmark</t>
  </si>
  <si>
    <t>Risk Reduction &amp; Mitigation — return</t>
  </si>
  <si>
    <t>Risk Reduction &amp; Mitigation — benchmark</t>
  </si>
  <si>
    <t>Allocation</t>
  </si>
  <si>
    <t>Label (other line only)</t>
  </si>
  <si>
    <t>Market value $M</t>
  </si>
  <si>
    <t>Weight %</t>
  </si>
  <si>
    <t>Target %</t>
  </si>
  <si>
    <t>Month flow $M</t>
  </si>
  <si>
    <t>Growth</t>
  </si>
  <si>
    <t>Credit</t>
  </si>
  <si>
    <t>Real Assets &amp; Inflation Hedges</t>
  </si>
  <si>
    <t>Risk Reduction &amp; Mitigation</t>
  </si>
  <si>
    <t>Other line (overlays, other assets, unitemized; optional)</t>
  </si>
  <si>
    <t>Overlays &amp; Hedges + Other Asset</t>
  </si>
  <si>
    <t>Sum (should match the total and 100%)</t>
  </si>
  <si>
    <t>Overlay programs (Total Fund only, $ millions)</t>
  </si>
  <si>
    <t>Program</t>
  </si>
  <si>
    <t>Month gain</t>
  </si>
  <si>
    <t>Since inception</t>
  </si>
  <si>
    <t>Currency hedge</t>
  </si>
  <si>
    <t>Cash / rebalance overlay</t>
  </si>
  <si>
    <t>Return distribution, last 120 months (% per month)</t>
  </si>
  <si>
    <t>Bin</t>
  </si>
  <si>
    <t>Months</t>
  </si>
  <si>
    <t>≤ -6</t>
  </si>
  <si>
    <t>-6 to -5</t>
  </si>
  <si>
    <t>-5 to -4</t>
  </si>
  <si>
    <t>-4 to -3</t>
  </si>
  <si>
    <t>-3 to -2</t>
  </si>
  <si>
    <t>-2 to -1</t>
  </si>
  <si>
    <t>-1 to 0</t>
  </si>
  <si>
    <t>0 to 1</t>
  </si>
  <si>
    <t>1 to 2</t>
  </si>
  <si>
    <t>2 to 3</t>
  </si>
  <si>
    <t>3 to 4</t>
  </si>
  <si>
    <t>4 to 5</t>
  </si>
  <si>
    <t>5 to 6</t>
  </si>
  <si>
    <t>≥ 6</t>
  </si>
  <si>
    <t>Mean monthly return</t>
  </si>
  <si>
    <t>Policy benchmark (SAA) mean</t>
  </si>
  <si>
    <t>Standard deviation</t>
  </si>
  <si>
    <t>Lowest month</t>
  </si>
  <si>
    <t>Highest month</t>
  </si>
  <si>
    <t>Latest month</t>
  </si>
  <si>
    <t>Geographic exposure (optional)</t>
  </si>
  <si>
    <t>Share %</t>
  </si>
  <si>
    <t>Markets</t>
  </si>
  <si>
    <t>Developed markets</t>
  </si>
  <si>
    <t>Emerging / frontier markets</t>
  </si>
  <si>
    <t>Total markets</t>
  </si>
  <si>
    <t>Top developed-market countries</t>
  </si>
  <si>
    <t>United States</t>
  </si>
  <si>
    <t>United Kingdom</t>
  </si>
  <si>
    <t>Canada</t>
  </si>
  <si>
    <t>Japan</t>
  </si>
  <si>
    <t>Germany</t>
  </si>
  <si>
    <t>Top emerging-market countries</t>
  </si>
  <si>
    <t>China</t>
  </si>
  <si>
    <t>Taiwan</t>
  </si>
  <si>
    <t>South Korea</t>
  </si>
  <si>
    <t>Brazil</t>
  </si>
  <si>
    <t>India</t>
  </si>
  <si>
    <t>OPEB</t>
  </si>
  <si>
    <t>Not itemized (report total less listed composites)</t>
  </si>
  <si>
    <t>France</t>
  </si>
  <si>
    <t>Market table (index total returns, %)</t>
  </si>
  <si>
    <t>One row per index, grouped as the report groups them.</t>
  </si>
  <si>
    <t>Group</t>
  </si>
  <si>
    <t>Index</t>
  </si>
  <si>
    <t>Description</t>
  </si>
  <si>
    <t>Reference portfolio</t>
  </si>
  <si>
    <t>60:40 Equity:Bond</t>
  </si>
  <si>
    <t>60% MSCI ACWI IMI / 40% Bloomberg U.S. Aggregate</t>
  </si>
  <si>
    <t>Global equity</t>
  </si>
  <si>
    <t>U.S. Large Cap</t>
  </si>
  <si>
    <t>S&amp;P 500 Total Return</t>
  </si>
  <si>
    <t>U.S. Small Cap</t>
  </si>
  <si>
    <t>Russell 2000 Total Return</t>
  </si>
  <si>
    <t>Non-U.S. All Cap</t>
  </si>
  <si>
    <t>MSCI ACWI ex-U.S. IMI Total Return</t>
  </si>
  <si>
    <t>Emerging Markets</t>
  </si>
  <si>
    <t>MSCI Emerging Markets Total Return</t>
  </si>
  <si>
    <t>Private equity</t>
  </si>
  <si>
    <t>Private Equity Buyout</t>
  </si>
  <si>
    <t>Thomson Reuters PE Buyout Index</t>
  </si>
  <si>
    <t>Fixed income</t>
  </si>
  <si>
    <t>U.S. Corporate High Yield</t>
  </si>
  <si>
    <t>Bloomberg U.S. Corporate High Yield Total Return</t>
  </si>
  <si>
    <t>U.S. Long-Term Treasuries</t>
  </si>
  <si>
    <t>Bloomberg Long Term U.S. Treasury Total Return</t>
  </si>
  <si>
    <t>DM Leveraged Loans</t>
  </si>
  <si>
    <t>Credit Suisse Leveraged Loan Total Return</t>
  </si>
  <si>
    <t>Real assets &amp; inflation hedges</t>
  </si>
  <si>
    <t>Natural Resources</t>
  </si>
  <si>
    <t>S&amp;P Global Natural Resources Total Return</t>
  </si>
  <si>
    <t>Global Infrastructure</t>
  </si>
  <si>
    <t>Dow Jones Brookfield Global Infrastructure Composite</t>
  </si>
  <si>
    <t>TIPS 0–5 Years</t>
  </si>
  <si>
    <t>Bloomberg U.S. Treasury TIPS 0–5 Years Total Return</t>
  </si>
  <si>
    <t>Real Estate (ODCE, net)¹</t>
  </si>
  <si>
    <t>NCREIF Fund Index – ODCE (Net), latest available quarter</t>
  </si>
  <si>
    <t>Macro strip</t>
  </si>
  <si>
    <t>Label, value as shown on the slide, and a detail line with its source or page.</t>
  </si>
  <si>
    <t>Label</t>
  </si>
  <si>
    <t>Value</t>
  </si>
  <si>
    <t>Detail</t>
  </si>
  <si>
    <t>PCE inflation, June 2026</t>
  </si>
  <si>
    <t>3.7% y/y</t>
  </si>
  <si>
    <t>Core 3.3% (FRED · BEA). Easing driven largely by a temporary drop in energy prices after the mid-June ceasefire, since reversed (p. 4)</t>
  </si>
  <si>
    <t>Federal funds target range</t>
  </si>
  <si>
    <t>3.50–3.75%</t>
  </si>
  <si>
    <t>In effect since Dec 11, 2025 (FRED · Federal Reserve). Fifth consecutive pause; three dissents in favor of an increase (p. 4)</t>
  </si>
  <si>
    <t>Unemployment and participation, June 2026</t>
  </si>
  <si>
    <t>4.2% · 61.5%</t>
  </si>
  <si>
    <t>Unemployment rate · labor force participation rate (FRED · BLS)</t>
  </si>
  <si>
    <t>Treasury yields, Jun 30, 2026</t>
  </si>
  <si>
    <t>3.9 · 4.1 · 4.2 · 4.4 · 4.9%</t>
  </si>
  <si>
    <t>3M · 2Y · 5Y · 10Y · 30Y constant maturity (FRED · Federal Reserve)</t>
  </si>
  <si>
    <t>U.S. Dollar Index, YTD to 7/31</t>
  </si>
  <si>
    <t>+1.6%</t>
  </si>
  <si>
    <t>GBP +0.1 · EUR −1.9 · JPY −0.4 · CAD −2.1 · MXN +3.8 · CNY +3.5 (p. 6)</t>
  </si>
  <si>
    <t>Themes to watch</t>
  </si>
  <si>
    <t>Tariffs · AI · rates</t>
  </si>
  <si>
    <t>Tariffs of 10–12.5% now cover over 99% of U.S. imports; Strait of Hormuz disruption; Q2 earnings beat with AI capex in focus (p. 4)</t>
  </si>
  <si>
    <t>Items for attention</t>
  </si>
  <si>
    <t>Area, the item as it should read, its status and the report page (optional).</t>
  </si>
  <si>
    <t>Area</t>
  </si>
  <si>
    <t>Item</t>
  </si>
  <si>
    <t>Status</t>
  </si>
  <si>
    <t>Page</t>
  </si>
  <si>
    <t>Total Fund</t>
  </si>
  <si>
    <t>April 2024 approved Strategic Asset Allocation implementation</t>
  </si>
  <si>
    <t>In progress</t>
  </si>
  <si>
    <t>Adhering to the BOI-approved 2026 Strategic Framework</t>
  </si>
  <si>
    <t>Planning for the Strategic Framework and Initiatives Refresh</t>
  </si>
  <si>
    <t>Risk system onboarding</t>
  </si>
  <si>
    <t>OPEB Master Trust</t>
  </si>
  <si>
    <t>Investments Division</t>
  </si>
  <si>
    <t>Principal Investment Officer — 1 position</t>
  </si>
  <si>
    <t>In development</t>
  </si>
  <si>
    <t>Finance Analyst III — 5 positions</t>
  </si>
  <si>
    <t>Finance Analyst II — 1 position</t>
  </si>
  <si>
    <t>Finance Analyst Fellowship — 2 positions</t>
  </si>
  <si>
    <t>Completed</t>
  </si>
  <si>
    <t>Manager update</t>
  </si>
  <si>
    <t>Acadian Asset Management (global equities separate account, $1,023 mm): Alexandre Voitenok appointed co-Chief Investment Officer effective January 1, 2027, after serving as Deputy CIO since 2024</t>
  </si>
  <si>
    <t>For attention</t>
  </si>
  <si>
    <t>Consultant search</t>
  </si>
  <si>
    <t>Real Estate Consultant RFP launched Q1 2026, diligence Q1–Q3 2026 — quiet period for respondents (Albourne, Mercer, NEPC, RCLCO, StepStone, Meketa)</t>
  </si>
  <si>
    <t>Quiet period</t>
  </si>
  <si>
    <t>Checks</t>
  </si>
  <si>
    <t>The report's own identities. Every line should say OK before you export.</t>
  </si>
  <si>
    <t>Check</t>
  </si>
  <si>
    <t>Result</t>
  </si>
  <si>
    <t>Data through is a month end</t>
  </si>
  <si>
    <t>Report date is on or after data through</t>
  </si>
  <si>
    <t>Pension Fund: total market value and cash entered</t>
  </si>
  <si>
    <t>Pension Fund: Total Fund return and benchmark for 1M, FYTD and 1Y</t>
  </si>
  <si>
    <t>Pension Fund: every return has a benchmark for the same period</t>
  </si>
  <si>
    <t>Pension Fund: category weights add to 100% (±0.3)</t>
  </si>
  <si>
    <t>Pension Fund: category market values add to the total</t>
  </si>
  <si>
    <t>Pension Fund: 14 bin counts add to 120 months</t>
  </si>
  <si>
    <t>Pension Fund: six distribution statistics entered</t>
  </si>
  <si>
    <t>Pension Fund: DM + EM shares add to 100% (if geography entered)</t>
  </si>
  <si>
    <t>OPEB Trust: total market value and cash entered</t>
  </si>
  <si>
    <t>OPEB Trust: Total Fund return and benchmark for 1M, FYTD and 1Y</t>
  </si>
  <si>
    <t>OPEB Trust: every return has a benchmark for the same period</t>
  </si>
  <si>
    <t>OPEB Trust: category weights add to 100% (±0.3)</t>
  </si>
  <si>
    <t>OPEB Trust: category market values add to the total</t>
  </si>
  <si>
    <t>OPEB Trust: 14 bin counts add to 120 months</t>
  </si>
  <si>
    <t>OPEB Trust: six distribution statistics entered</t>
  </si>
  <si>
    <t>OPEB Trust: DM + EM shares add to 100% (if geography entered)</t>
  </si>
  <si>
    <t>Market table has its as-of date (if indexes entered)</t>
  </si>
  <si>
    <t>Every market index has a group</t>
  </si>
  <si>
    <t>All checks</t>
  </si>
  <si>
    <t>section</t>
  </si>
  <si>
    <t>entity</t>
  </si>
  <si>
    <t>item</t>
  </si>
  <si>
    <t>measure</t>
  </si>
  <si>
    <t>period</t>
  </si>
  <si>
    <t>value</t>
  </si>
  <si>
    <t>text</t>
  </si>
  <si>
    <t>report</t>
  </si>
  <si>
    <t>format</t>
  </si>
  <si>
    <t>cio-template-1</t>
  </si>
  <si>
    <t>report_date</t>
  </si>
  <si>
    <t>data_through</t>
  </si>
  <si>
    <t>market_as_of</t>
  </si>
  <si>
    <t>fund</t>
  </si>
  <si>
    <t>pension</t>
  </si>
  <si>
    <t>TOTAL</t>
  </si>
  <si>
    <t>market_value</t>
  </si>
  <si>
    <t>cash</t>
  </si>
  <si>
    <t>growth_of_dollar</t>
  </si>
  <si>
    <t>performance</t>
  </si>
  <si>
    <t>return</t>
  </si>
  <si>
    <t>benchmark</t>
  </si>
  <si>
    <t>hurdle</t>
  </si>
  <si>
    <t>GROWTH</t>
  </si>
  <si>
    <t>CREDIT</t>
  </si>
  <si>
    <t>RAIH</t>
  </si>
  <si>
    <t>RRM</t>
  </si>
  <si>
    <t>allocation</t>
  </si>
  <si>
    <t>weight</t>
  </si>
  <si>
    <t>target</t>
  </si>
  <si>
    <t>flow</t>
  </si>
  <si>
    <t>OTHER</t>
  </si>
  <si>
    <t>label</t>
  </si>
  <si>
    <t>overlay</t>
  </si>
  <si>
    <t>month_gain</t>
  </si>
  <si>
    <t>since_inception</t>
  </si>
  <si>
    <t>histogram</t>
  </si>
  <si>
    <t>BIN_00</t>
  </si>
  <si>
    <t>count</t>
  </si>
  <si>
    <t>BIN_01</t>
  </si>
  <si>
    <t>BIN_02</t>
  </si>
  <si>
    <t>BIN_03</t>
  </si>
  <si>
    <t>BIN_04</t>
  </si>
  <si>
    <t>BIN_05</t>
  </si>
  <si>
    <t>BIN_06</t>
  </si>
  <si>
    <t>BIN_07</t>
  </si>
  <si>
    <t>BIN_08</t>
  </si>
  <si>
    <t>BIN_09</t>
  </si>
  <si>
    <t>BIN_10</t>
  </si>
  <si>
    <t>BIN_11</t>
  </si>
  <si>
    <t>BIN_12</t>
  </si>
  <si>
    <t>BIN_13</t>
  </si>
  <si>
    <t>STAT</t>
  </si>
  <si>
    <t>mean</t>
  </si>
  <si>
    <t>saa</t>
  </si>
  <si>
    <t>sd</t>
  </si>
  <si>
    <t>min</t>
  </si>
  <si>
    <t>max</t>
  </si>
  <si>
    <t>latest</t>
  </si>
  <si>
    <t>geography</t>
  </si>
  <si>
    <t>DM</t>
  </si>
  <si>
    <t>share</t>
  </si>
  <si>
    <t>markets</t>
  </si>
  <si>
    <t>EM</t>
  </si>
  <si>
    <t>country</t>
  </si>
  <si>
    <t>opeb</t>
  </si>
  <si>
    <t>market</t>
  </si>
  <si>
    <t>group</t>
  </si>
  <si>
    <t>description</t>
  </si>
  <si>
    <t>macro</t>
  </si>
  <si>
    <t>detail</t>
  </si>
  <si>
    <t>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</si>
</sst>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4"/>
      <color rgb="FF10233D"/>
      <name val="Arial"/>
    </font>
    <font>
      <sz val="10"/>
      <name val="Arial"/>
    </font>
    <font>
      <i/>
      <sz val="9"/>
      <color rgb="FF55606E"/>
      <name val="Arial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6CC"/>
      </patternFill>
    </fill>
    <fill>
      <patternFill patternType="solid">
        <fgColor rgb="FF10233D"/>
      </patternFill>
    </fill>
  </fills>
  <borders count="2">
    <border>
      <left/>
      <right/>
      <top/>
      <bottom/>
      <diagonal/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2" fontId="2" fillId="2" borderId="1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165" fontId="2" fillId="2" borderId="1" xfId="0" applyNumberFormat="1" applyFont="1" applyFill="1" applyBorder="1"/>
    <xf numFmtId="0" fontId="2" fillId="2" borderId="1" xfId="0" applyFont="1" applyFill="1" applyBorder="1"/>
    <xf numFmtId="3" fontId="3" fillId="0" borderId="0" xfId="0" applyNumberFormat="1" applyFont="1"/>
    <xf numFmtId="165" fontId="3" fillId="0" borderId="0" xfId="0" applyNumberFormat="1" applyFont="1"/>
    <xf numFmtId="166" fontId="2" fillId="2" borderId="1" xfId="0" applyNumberFormat="1" applyFont="1" applyFill="1" applyBorder="1"/>
    <xf numFmtId="1" fontId="2" fillId="2" borderId="1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4">
    <dxf>
      <fill>
        <patternFill patternType="solid">
          <fgColor rgb="FFFBDADA"/>
        </patternFill>
      </fill>
    </dxf>
    <dxf>
      <fill>
        <patternFill patternType="solid">
          <fgColor rgb="FFDDF1E4"/>
        </patternFill>
      </fill>
    </dxf>
    <dxf>
      <fill>
        <patternFill patternType="solid">
          <fgColor rgb="FFFBDADA"/>
        </patternFill>
      </fill>
    </dxf>
    <dxf>
      <fill>
        <patternFill patternType="solid">
          <fgColor rgb="FFDDF1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tabSelected="1"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workbookViewId="0"/>
  </sheetViews>
  <sheetFormatPr defaultRowHeight="15" x14ac:dyDescent="0.25"/>
  <cols>
    <col min="1" max="1" width="44" customWidth="1"/>
    <col min="3" max="3" width="14" customWidth="1"/>
  </cols>
  <sheetData>
    <row r="1" spans="1:3" ht="18" x14ac:dyDescent="0.25">
      <c r="A1" s="1" t="s">
        <v>11</v>
      </c>
    </row>
    <row r="2" spans="1:3" x14ac:dyDescent="0.25">
      <c r="A2" s="3" t="s">
        <v>12</v>
      </c>
    </row>
    <row r="4" spans="1:3" x14ac:dyDescent="0.25">
      <c r="A4" s="2" t="s">
        <v>13</v>
      </c>
      <c r="C4" s="4">
        <v>46246</v>
      </c>
    </row>
    <row r="5" spans="1:3" x14ac:dyDescent="0.25">
      <c r="A5" s="2" t="s">
        <v>14</v>
      </c>
      <c r="C5" s="4">
        <v>46203</v>
      </c>
    </row>
    <row r="6" spans="1:3" x14ac:dyDescent="0.25">
      <c r="A6" s="2" t="s">
        <v>15</v>
      </c>
      <c r="C6" s="4">
        <v>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2" width="30" customWidth="1"/>
    <col min="3" max="10" width="10" customWidth="1"/>
  </cols>
  <sheetData>
    <row r="1" spans="1:10" ht="18" x14ac:dyDescent="0.25">
      <c r="A1" s="1" t="s">
        <v>16</v>
      </c>
    </row>
    <row r="2" spans="1:10" x14ac:dyDescent="0.25">
      <c r="A2" s="3" t="s">
        <v>17</v>
      </c>
    </row>
    <row r="4" spans="1:10" x14ac:dyDescent="0.25">
      <c r="A4" s="2" t="s">
        <v>18</v>
      </c>
      <c r="C4" s="5">
        <v>93916</v>
      </c>
    </row>
    <row r="5" spans="1:10" x14ac:dyDescent="0.25">
      <c r="A5" s="2" t="s">
        <v>19</v>
      </c>
      <c r="C5" s="5">
        <v>1309</v>
      </c>
    </row>
    <row r="6" spans="1:10" x14ac:dyDescent="0.25">
      <c r="A6" s="2" t="s">
        <v>20</v>
      </c>
      <c r="C6" s="6">
        <v>1.43</v>
      </c>
    </row>
    <row r="8" spans="1:10" x14ac:dyDescent="0.25">
      <c r="A8" s="7" t="s">
        <v>21</v>
      </c>
      <c r="B8" s="8"/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  <c r="I8" s="8" t="s">
        <v>28</v>
      </c>
      <c r="J8" s="8" t="s">
        <v>29</v>
      </c>
    </row>
    <row r="9" spans="1:10" x14ac:dyDescent="0.25">
      <c r="A9" s="2" t="s">
        <v>30</v>
      </c>
      <c r="C9" s="9">
        <v>0.1</v>
      </c>
      <c r="D9" s="9">
        <v>5.3</v>
      </c>
      <c r="E9" s="9">
        <v>12.2</v>
      </c>
      <c r="F9" s="9">
        <v>5.9</v>
      </c>
      <c r="G9" s="9">
        <v>12.2</v>
      </c>
      <c r="H9" s="9">
        <v>10.3</v>
      </c>
      <c r="I9" s="9">
        <v>7.4</v>
      </c>
      <c r="J9" s="9">
        <v>9.1</v>
      </c>
    </row>
    <row r="10" spans="1:10" x14ac:dyDescent="0.25">
      <c r="A10" s="2" t="s">
        <v>31</v>
      </c>
      <c r="C10" s="9">
        <v>-1.4</v>
      </c>
      <c r="D10" s="9">
        <v>5.3</v>
      </c>
      <c r="E10" s="9">
        <v>14.8</v>
      </c>
      <c r="F10" s="9">
        <v>5.6</v>
      </c>
      <c r="G10" s="9">
        <v>14.8</v>
      </c>
      <c r="H10" s="9">
        <v>11.9</v>
      </c>
      <c r="I10" s="9">
        <v>7</v>
      </c>
      <c r="J10" s="9">
        <v>8.6</v>
      </c>
    </row>
    <row r="11" spans="1:10" x14ac:dyDescent="0.25">
      <c r="A11" s="2" t="s">
        <v>32</v>
      </c>
      <c r="C11" s="9">
        <v>0.6</v>
      </c>
      <c r="D11" s="9">
        <v>1.7</v>
      </c>
      <c r="E11" s="9">
        <v>7</v>
      </c>
      <c r="F11" s="9">
        <v>3.4</v>
      </c>
      <c r="G11" s="9">
        <v>7</v>
      </c>
      <c r="H11" s="9">
        <v>7</v>
      </c>
      <c r="I11" s="9">
        <v>7</v>
      </c>
      <c r="J11" s="9">
        <v>7</v>
      </c>
    </row>
    <row r="12" spans="1:10" x14ac:dyDescent="0.25">
      <c r="A12" s="2" t="s">
        <v>33</v>
      </c>
      <c r="C12" s="9">
        <v>-0.1</v>
      </c>
      <c r="D12" s="9">
        <v>9.5</v>
      </c>
      <c r="E12" s="9">
        <v>17.5</v>
      </c>
      <c r="F12" s="9">
        <v>8.1</v>
      </c>
      <c r="G12" s="9">
        <v>17.5</v>
      </c>
      <c r="H12" s="9">
        <v>13.9</v>
      </c>
      <c r="I12" s="9">
        <v>9.8000000000000007</v>
      </c>
      <c r="J12" s="9"/>
    </row>
    <row r="13" spans="1:10" x14ac:dyDescent="0.25">
      <c r="A13" s="2" t="s">
        <v>34</v>
      </c>
      <c r="C13" s="9">
        <v>-2.9</v>
      </c>
      <c r="D13" s="9">
        <v>8.1</v>
      </c>
      <c r="E13" s="9">
        <v>23.3</v>
      </c>
      <c r="F13" s="9">
        <v>7.8</v>
      </c>
      <c r="G13" s="9">
        <v>23.3</v>
      </c>
      <c r="H13" s="9">
        <v>18.100000000000001</v>
      </c>
      <c r="I13" s="9">
        <v>10.4</v>
      </c>
      <c r="J13" s="9"/>
    </row>
    <row r="14" spans="1:10" x14ac:dyDescent="0.25">
      <c r="A14" s="2" t="s">
        <v>35</v>
      </c>
      <c r="C14" s="9">
        <v>0.9</v>
      </c>
      <c r="D14" s="9">
        <v>3.5</v>
      </c>
      <c r="E14" s="9">
        <v>6.7</v>
      </c>
      <c r="F14" s="9">
        <v>5.6</v>
      </c>
      <c r="G14" s="9">
        <v>6.7</v>
      </c>
      <c r="H14" s="9">
        <v>12.8</v>
      </c>
      <c r="I14" s="9">
        <v>8.1999999999999993</v>
      </c>
      <c r="J14" s="9"/>
    </row>
    <row r="15" spans="1:10" x14ac:dyDescent="0.25">
      <c r="A15" s="2" t="s">
        <v>36</v>
      </c>
      <c r="C15" s="9">
        <v>0.6</v>
      </c>
      <c r="D15" s="9">
        <v>2.2000000000000002</v>
      </c>
      <c r="E15" s="9">
        <v>6.8</v>
      </c>
      <c r="F15" s="9">
        <v>2.5</v>
      </c>
      <c r="G15" s="9">
        <v>6.8</v>
      </c>
      <c r="H15" s="9">
        <v>9.1999999999999993</v>
      </c>
      <c r="I15" s="9">
        <v>5</v>
      </c>
      <c r="J15" s="9"/>
    </row>
    <row r="16" spans="1:10" x14ac:dyDescent="0.25">
      <c r="A16" s="2" t="s">
        <v>37</v>
      </c>
      <c r="C16" s="9">
        <v>-1.1000000000000001</v>
      </c>
      <c r="D16" s="9">
        <v>-0.4</v>
      </c>
      <c r="E16" s="9">
        <v>7.9</v>
      </c>
      <c r="F16" s="9">
        <v>3.5</v>
      </c>
      <c r="G16" s="9">
        <v>7.9</v>
      </c>
      <c r="H16" s="9">
        <v>4.4000000000000004</v>
      </c>
      <c r="I16" s="9">
        <v>5.4</v>
      </c>
      <c r="J16" s="9"/>
    </row>
    <row r="17" spans="1:10" x14ac:dyDescent="0.25">
      <c r="A17" s="2" t="s">
        <v>38</v>
      </c>
      <c r="C17" s="9">
        <v>-1</v>
      </c>
      <c r="D17" s="9">
        <v>6</v>
      </c>
      <c r="E17" s="9">
        <v>11.8</v>
      </c>
      <c r="F17" s="9">
        <v>7.4</v>
      </c>
      <c r="G17" s="9">
        <v>11.8</v>
      </c>
      <c r="H17" s="9">
        <v>5.3</v>
      </c>
      <c r="I17" s="9">
        <v>5.5</v>
      </c>
      <c r="J17" s="9"/>
    </row>
    <row r="18" spans="1:10" x14ac:dyDescent="0.25">
      <c r="A18" s="2" t="s">
        <v>39</v>
      </c>
      <c r="C18" s="9">
        <v>0.5</v>
      </c>
      <c r="D18" s="9">
        <v>0.8</v>
      </c>
      <c r="E18" s="9">
        <v>5.5</v>
      </c>
      <c r="F18" s="9">
        <v>1.9</v>
      </c>
      <c r="G18" s="9">
        <v>5.5</v>
      </c>
      <c r="H18" s="9">
        <v>4.7</v>
      </c>
      <c r="I18" s="9">
        <v>1.3</v>
      </c>
      <c r="J18" s="9"/>
    </row>
    <row r="19" spans="1:10" x14ac:dyDescent="0.25">
      <c r="A19" s="2" t="s">
        <v>40</v>
      </c>
      <c r="C19" s="9">
        <v>0.4</v>
      </c>
      <c r="D19" s="9">
        <v>1</v>
      </c>
      <c r="E19" s="9">
        <v>4.5</v>
      </c>
      <c r="F19" s="9">
        <v>1.4</v>
      </c>
      <c r="G19" s="9">
        <v>4.5</v>
      </c>
      <c r="H19" s="9">
        <v>4.3</v>
      </c>
      <c r="I19" s="9">
        <v>0.9</v>
      </c>
      <c r="J19" s="9"/>
    </row>
    <row r="21" spans="1:10" x14ac:dyDescent="0.25">
      <c r="A21" s="7" t="s">
        <v>41</v>
      </c>
      <c r="B21" s="8" t="s">
        <v>42</v>
      </c>
      <c r="C21" s="8" t="s">
        <v>43</v>
      </c>
      <c r="D21" s="8" t="s">
        <v>44</v>
      </c>
      <c r="E21" s="8" t="s">
        <v>45</v>
      </c>
      <c r="F21" s="8" t="s">
        <v>46</v>
      </c>
    </row>
    <row r="22" spans="1:10" x14ac:dyDescent="0.25">
      <c r="A22" s="2" t="s">
        <v>47</v>
      </c>
      <c r="C22" s="5">
        <v>45687</v>
      </c>
      <c r="D22" s="9">
        <v>48.6</v>
      </c>
      <c r="E22" s="9">
        <v>48</v>
      </c>
      <c r="F22" s="5">
        <v>41</v>
      </c>
    </row>
    <row r="23" spans="1:10" x14ac:dyDescent="0.25">
      <c r="A23" s="2" t="s">
        <v>48</v>
      </c>
      <c r="C23" s="5">
        <v>11749</v>
      </c>
      <c r="D23" s="9">
        <v>12.5</v>
      </c>
      <c r="E23" s="9">
        <v>13</v>
      </c>
      <c r="F23" s="5">
        <v>-79</v>
      </c>
    </row>
    <row r="24" spans="1:10" x14ac:dyDescent="0.25">
      <c r="A24" s="2" t="s">
        <v>49</v>
      </c>
      <c r="C24" s="5">
        <v>13501</v>
      </c>
      <c r="D24" s="9">
        <v>14.4</v>
      </c>
      <c r="E24" s="9">
        <v>15</v>
      </c>
      <c r="F24" s="5">
        <v>-4</v>
      </c>
    </row>
    <row r="25" spans="1:10" x14ac:dyDescent="0.25">
      <c r="A25" s="2" t="s">
        <v>50</v>
      </c>
      <c r="C25" s="5">
        <v>22354</v>
      </c>
      <c r="D25" s="9">
        <v>23.8</v>
      </c>
      <c r="E25" s="9">
        <v>24</v>
      </c>
      <c r="F25" s="5">
        <v>0</v>
      </c>
    </row>
    <row r="26" spans="1:10" x14ac:dyDescent="0.25">
      <c r="A26" s="2" t="s">
        <v>51</v>
      </c>
      <c r="B26" s="10" t="s">
        <v>52</v>
      </c>
      <c r="C26" s="5">
        <v>624</v>
      </c>
      <c r="D26" s="9">
        <v>0.7</v>
      </c>
      <c r="F26" s="5">
        <v>-18</v>
      </c>
    </row>
    <row r="27" spans="1:10" x14ac:dyDescent="0.25">
      <c r="A27" s="3" t="s">
        <v>53</v>
      </c>
      <c r="C27" s="11">
        <f>SUM(C22:C26)</f>
        <v>93915</v>
      </c>
      <c r="D27" s="12">
        <f>SUM(D22:D26)</f>
        <v>100</v>
      </c>
      <c r="F27" s="11">
        <f>SUM(F22:F26)</f>
        <v>-60</v>
      </c>
    </row>
    <row r="29" spans="1:10" x14ac:dyDescent="0.25">
      <c r="A29" s="7" t="s">
        <v>54</v>
      </c>
      <c r="B29" s="8" t="s">
        <v>55</v>
      </c>
      <c r="C29" s="8" t="s">
        <v>56</v>
      </c>
      <c r="D29" s="8" t="s">
        <v>57</v>
      </c>
    </row>
    <row r="30" spans="1:10" x14ac:dyDescent="0.25">
      <c r="B30" s="10" t="s">
        <v>58</v>
      </c>
      <c r="C30" s="13">
        <v>17.600000000000001</v>
      </c>
      <c r="D30" s="13">
        <v>1563.7</v>
      </c>
    </row>
    <row r="31" spans="1:10" x14ac:dyDescent="0.25">
      <c r="B31" s="10" t="s">
        <v>59</v>
      </c>
      <c r="C31" s="13">
        <v>-6.4</v>
      </c>
      <c r="D31" s="13">
        <v>804.3</v>
      </c>
    </row>
    <row r="32" spans="1:10" x14ac:dyDescent="0.25">
      <c r="B32" s="10"/>
      <c r="C32" s="13"/>
      <c r="D32" s="13"/>
    </row>
    <row r="33" spans="1:4" x14ac:dyDescent="0.25">
      <c r="B33" s="10"/>
      <c r="C33" s="13"/>
      <c r="D33" s="13"/>
    </row>
    <row r="35" spans="1:4" x14ac:dyDescent="0.25">
      <c r="A35" s="7" t="s">
        <v>60</v>
      </c>
      <c r="B35" s="8" t="s">
        <v>61</v>
      </c>
      <c r="C35" s="8" t="s">
        <v>62</v>
      </c>
    </row>
    <row r="36" spans="1:4" x14ac:dyDescent="0.25">
      <c r="B36" s="2" t="s">
        <v>63</v>
      </c>
      <c r="C36" s="14">
        <v>1</v>
      </c>
    </row>
    <row r="37" spans="1:4" x14ac:dyDescent="0.25">
      <c r="B37" s="2" t="s">
        <v>64</v>
      </c>
      <c r="C37" s="14">
        <v>0</v>
      </c>
    </row>
    <row r="38" spans="1:4" x14ac:dyDescent="0.25">
      <c r="B38" s="2" t="s">
        <v>65</v>
      </c>
      <c r="C38" s="14">
        <v>1</v>
      </c>
    </row>
    <row r="39" spans="1:4" x14ac:dyDescent="0.25">
      <c r="B39" s="2" t="s">
        <v>66</v>
      </c>
      <c r="C39" s="14">
        <v>3</v>
      </c>
    </row>
    <row r="40" spans="1:4" x14ac:dyDescent="0.25">
      <c r="B40" s="2" t="s">
        <v>67</v>
      </c>
      <c r="C40" s="14">
        <v>6</v>
      </c>
    </row>
    <row r="41" spans="1:4" x14ac:dyDescent="0.25">
      <c r="B41" s="2" t="s">
        <v>68</v>
      </c>
      <c r="C41" s="14">
        <v>10</v>
      </c>
    </row>
    <row r="42" spans="1:4" x14ac:dyDescent="0.25">
      <c r="B42" s="2" t="s">
        <v>69</v>
      </c>
      <c r="C42" s="14">
        <v>11</v>
      </c>
    </row>
    <row r="43" spans="1:4" x14ac:dyDescent="0.25">
      <c r="B43" s="2" t="s">
        <v>70</v>
      </c>
      <c r="C43" s="14">
        <v>24</v>
      </c>
    </row>
    <row r="44" spans="1:4" x14ac:dyDescent="0.25">
      <c r="B44" s="2" t="s">
        <v>71</v>
      </c>
      <c r="C44" s="14">
        <v>37</v>
      </c>
    </row>
    <row r="45" spans="1:4" x14ac:dyDescent="0.25">
      <c r="B45" s="2" t="s">
        <v>72</v>
      </c>
      <c r="C45" s="14">
        <v>17</v>
      </c>
    </row>
    <row r="46" spans="1:4" x14ac:dyDescent="0.25">
      <c r="B46" s="2" t="s">
        <v>73</v>
      </c>
      <c r="C46" s="14">
        <v>6</v>
      </c>
    </row>
    <row r="47" spans="1:4" x14ac:dyDescent="0.25">
      <c r="B47" s="2" t="s">
        <v>74</v>
      </c>
      <c r="C47" s="14">
        <v>3</v>
      </c>
    </row>
    <row r="48" spans="1:4" x14ac:dyDescent="0.25">
      <c r="B48" s="2" t="s">
        <v>75</v>
      </c>
      <c r="C48" s="14">
        <v>0</v>
      </c>
    </row>
    <row r="49" spans="1:4" x14ac:dyDescent="0.25">
      <c r="B49" s="2" t="s">
        <v>76</v>
      </c>
      <c r="C49" s="14">
        <v>1</v>
      </c>
    </row>
    <row r="51" spans="1:4" x14ac:dyDescent="0.25">
      <c r="B51" s="2" t="s">
        <v>77</v>
      </c>
      <c r="C51" s="6">
        <v>0.75</v>
      </c>
    </row>
    <row r="52" spans="1:4" x14ac:dyDescent="0.25">
      <c r="B52" s="2" t="s">
        <v>78</v>
      </c>
      <c r="C52" s="6">
        <v>0.6</v>
      </c>
    </row>
    <row r="53" spans="1:4" x14ac:dyDescent="0.25">
      <c r="B53" s="2" t="s">
        <v>79</v>
      </c>
      <c r="C53" s="6">
        <v>1.94</v>
      </c>
    </row>
    <row r="54" spans="1:4" x14ac:dyDescent="0.25">
      <c r="B54" s="2" t="s">
        <v>80</v>
      </c>
      <c r="C54" s="6">
        <v>-6.9</v>
      </c>
    </row>
    <row r="55" spans="1:4" x14ac:dyDescent="0.25">
      <c r="B55" s="2" t="s">
        <v>81</v>
      </c>
      <c r="C55" s="6">
        <v>6.6</v>
      </c>
    </row>
    <row r="56" spans="1:4" x14ac:dyDescent="0.25">
      <c r="B56" s="2" t="s">
        <v>82</v>
      </c>
      <c r="C56" s="6">
        <v>0.1</v>
      </c>
    </row>
    <row r="58" spans="1:4" x14ac:dyDescent="0.25">
      <c r="A58" s="7" t="s">
        <v>83</v>
      </c>
      <c r="B58" s="8"/>
      <c r="C58" s="8" t="s">
        <v>84</v>
      </c>
      <c r="D58" s="8" t="s">
        <v>85</v>
      </c>
    </row>
    <row r="59" spans="1:4" x14ac:dyDescent="0.25">
      <c r="A59" s="2" t="s">
        <v>86</v>
      </c>
      <c r="C59" s="9">
        <v>94</v>
      </c>
      <c r="D59" s="14">
        <v>26</v>
      </c>
    </row>
    <row r="60" spans="1:4" x14ac:dyDescent="0.25">
      <c r="A60" s="2" t="s">
        <v>87</v>
      </c>
      <c r="C60" s="9">
        <v>6</v>
      </c>
      <c r="D60" s="14">
        <v>53</v>
      </c>
    </row>
    <row r="61" spans="1:4" x14ac:dyDescent="0.25">
      <c r="A61" s="2" t="s">
        <v>88</v>
      </c>
      <c r="D61" s="14">
        <v>79</v>
      </c>
    </row>
    <row r="62" spans="1:4" x14ac:dyDescent="0.25">
      <c r="A62" s="3" t="s">
        <v>89</v>
      </c>
    </row>
    <row r="63" spans="1:4" x14ac:dyDescent="0.25">
      <c r="B63" s="10" t="s">
        <v>90</v>
      </c>
      <c r="C63" s="9">
        <v>75.7</v>
      </c>
    </row>
    <row r="64" spans="1:4" x14ac:dyDescent="0.25">
      <c r="B64" s="10" t="s">
        <v>91</v>
      </c>
      <c r="C64" s="9">
        <v>4.0999999999999996</v>
      </c>
    </row>
    <row r="65" spans="1:3" x14ac:dyDescent="0.25">
      <c r="B65" s="10" t="s">
        <v>92</v>
      </c>
      <c r="C65" s="9">
        <v>2.5</v>
      </c>
    </row>
    <row r="66" spans="1:3" x14ac:dyDescent="0.25">
      <c r="B66" s="10" t="s">
        <v>93</v>
      </c>
      <c r="C66" s="9">
        <v>1.9</v>
      </c>
    </row>
    <row r="67" spans="1:3" x14ac:dyDescent="0.25">
      <c r="B67" s="10" t="s">
        <v>94</v>
      </c>
      <c r="C67" s="9">
        <v>1.6</v>
      </c>
    </row>
    <row r="68" spans="1:3" x14ac:dyDescent="0.25">
      <c r="A68" s="3" t="s">
        <v>95</v>
      </c>
    </row>
    <row r="69" spans="1:3" x14ac:dyDescent="0.25">
      <c r="B69" s="10" t="s">
        <v>96</v>
      </c>
      <c r="C69" s="9">
        <v>1.7</v>
      </c>
    </row>
    <row r="70" spans="1:3" x14ac:dyDescent="0.25">
      <c r="B70" s="10" t="s">
        <v>97</v>
      </c>
      <c r="C70" s="9">
        <v>1.1000000000000001</v>
      </c>
    </row>
    <row r="71" spans="1:3" x14ac:dyDescent="0.25">
      <c r="B71" s="10" t="s">
        <v>98</v>
      </c>
      <c r="C71" s="9">
        <v>1</v>
      </c>
    </row>
    <row r="72" spans="1:3" x14ac:dyDescent="0.25">
      <c r="B72" s="10" t="s">
        <v>99</v>
      </c>
      <c r="C72" s="9">
        <v>0.4</v>
      </c>
    </row>
    <row r="73" spans="1:3" x14ac:dyDescent="0.25">
      <c r="B73" s="10" t="s">
        <v>100</v>
      </c>
      <c r="C73" s="9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2" width="30" customWidth="1"/>
    <col min="3" max="10" width="10" customWidth="1"/>
  </cols>
  <sheetData>
    <row r="1" spans="1:10" ht="18" x14ac:dyDescent="0.25">
      <c r="A1" s="1" t="s">
        <v>101</v>
      </c>
    </row>
    <row r="2" spans="1:10" x14ac:dyDescent="0.25">
      <c r="A2" s="3" t="s">
        <v>17</v>
      </c>
    </row>
    <row r="4" spans="1:10" x14ac:dyDescent="0.25">
      <c r="A4" s="2" t="s">
        <v>18</v>
      </c>
      <c r="C4" s="5">
        <v>6447</v>
      </c>
    </row>
    <row r="5" spans="1:10" x14ac:dyDescent="0.25">
      <c r="A5" s="2" t="s">
        <v>19</v>
      </c>
      <c r="C5" s="5">
        <v>145</v>
      </c>
    </row>
    <row r="6" spans="1:10" x14ac:dyDescent="0.25">
      <c r="A6" s="2" t="s">
        <v>20</v>
      </c>
      <c r="C6" s="6">
        <v>1.37</v>
      </c>
    </row>
    <row r="8" spans="1:10" x14ac:dyDescent="0.25">
      <c r="A8" s="7" t="s">
        <v>21</v>
      </c>
      <c r="B8" s="8"/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  <c r="I8" s="8" t="s">
        <v>28</v>
      </c>
      <c r="J8" s="8" t="s">
        <v>29</v>
      </c>
    </row>
    <row r="9" spans="1:10" x14ac:dyDescent="0.25">
      <c r="A9" s="2" t="s">
        <v>30</v>
      </c>
      <c r="C9" s="9">
        <v>0.2</v>
      </c>
      <c r="D9" s="9">
        <v>7.6</v>
      </c>
      <c r="E9" s="9">
        <v>14.4</v>
      </c>
      <c r="F9" s="9">
        <v>7.2</v>
      </c>
      <c r="G9" s="9">
        <v>14.4</v>
      </c>
      <c r="H9" s="9">
        <v>12.2</v>
      </c>
      <c r="I9" s="9">
        <v>6.5</v>
      </c>
      <c r="J9" s="9">
        <v>9.5</v>
      </c>
    </row>
    <row r="10" spans="1:10" x14ac:dyDescent="0.25">
      <c r="A10" s="2" t="s">
        <v>31</v>
      </c>
      <c r="C10" s="9">
        <v>-0.6</v>
      </c>
      <c r="D10" s="9">
        <v>6.4</v>
      </c>
      <c r="E10" s="9">
        <v>14</v>
      </c>
      <c r="F10" s="9">
        <v>6.1</v>
      </c>
      <c r="G10" s="9">
        <v>14</v>
      </c>
      <c r="H10" s="9">
        <v>11.6</v>
      </c>
      <c r="I10" s="9">
        <v>6</v>
      </c>
      <c r="J10" s="9">
        <v>8.5</v>
      </c>
    </row>
    <row r="11" spans="1:10" x14ac:dyDescent="0.25">
      <c r="A11" s="2" t="s">
        <v>32</v>
      </c>
      <c r="C11" s="9">
        <v>0.5</v>
      </c>
      <c r="D11" s="9">
        <v>1.5</v>
      </c>
      <c r="E11" s="9">
        <v>6.2</v>
      </c>
      <c r="F11" s="9">
        <v>3.1</v>
      </c>
      <c r="G11" s="9">
        <v>6.2</v>
      </c>
      <c r="H11" s="9">
        <v>6.2</v>
      </c>
      <c r="I11" s="9">
        <v>6.1</v>
      </c>
      <c r="J11" s="9">
        <v>6</v>
      </c>
    </row>
    <row r="12" spans="1:10" x14ac:dyDescent="0.25">
      <c r="A12" s="2" t="s">
        <v>33</v>
      </c>
      <c r="C12" s="9">
        <v>-0.2</v>
      </c>
      <c r="D12" s="9">
        <v>14.4</v>
      </c>
      <c r="E12" s="9">
        <v>24.7</v>
      </c>
      <c r="F12" s="9">
        <v>12</v>
      </c>
      <c r="G12" s="9">
        <v>24.7</v>
      </c>
      <c r="H12" s="9">
        <v>19.8</v>
      </c>
      <c r="I12" s="9">
        <v>10.9</v>
      </c>
      <c r="J12" s="9"/>
    </row>
    <row r="13" spans="1:10" x14ac:dyDescent="0.25">
      <c r="A13" s="2" t="s">
        <v>34</v>
      </c>
      <c r="C13" s="9">
        <v>-1.3</v>
      </c>
      <c r="D13" s="9">
        <v>12.9</v>
      </c>
      <c r="E13" s="9">
        <v>24.2</v>
      </c>
      <c r="F13" s="9">
        <v>10.7</v>
      </c>
      <c r="G13" s="9">
        <v>24.2</v>
      </c>
      <c r="H13" s="9">
        <v>19.5</v>
      </c>
      <c r="I13" s="9">
        <v>10.4</v>
      </c>
      <c r="J13" s="9"/>
    </row>
    <row r="14" spans="1:10" x14ac:dyDescent="0.25">
      <c r="A14" s="2" t="s">
        <v>35</v>
      </c>
      <c r="C14" s="9">
        <v>0.2</v>
      </c>
      <c r="D14" s="9">
        <v>1.9</v>
      </c>
      <c r="E14" s="9">
        <v>5.9</v>
      </c>
      <c r="F14" s="9">
        <v>1.8</v>
      </c>
      <c r="G14" s="9">
        <v>5.9</v>
      </c>
      <c r="H14" s="9">
        <v>7.4</v>
      </c>
      <c r="I14" s="9">
        <v>4.3</v>
      </c>
      <c r="J14" s="9"/>
    </row>
    <row r="15" spans="1:10" x14ac:dyDescent="0.25">
      <c r="A15" s="2" t="s">
        <v>36</v>
      </c>
      <c r="C15" s="9">
        <v>0.6</v>
      </c>
      <c r="D15" s="9">
        <v>2.2000000000000002</v>
      </c>
      <c r="E15" s="9">
        <v>6.8</v>
      </c>
      <c r="F15" s="9">
        <v>2.5</v>
      </c>
      <c r="G15" s="9">
        <v>6.8</v>
      </c>
      <c r="H15" s="9">
        <v>8.9</v>
      </c>
      <c r="I15" s="9">
        <v>4.9000000000000004</v>
      </c>
      <c r="J15" s="9"/>
    </row>
    <row r="16" spans="1:10" x14ac:dyDescent="0.25">
      <c r="A16" s="2" t="s">
        <v>37</v>
      </c>
      <c r="C16" s="9">
        <v>1.7</v>
      </c>
      <c r="D16" s="9">
        <v>5.9</v>
      </c>
      <c r="E16" s="9">
        <v>12</v>
      </c>
      <c r="F16" s="9">
        <v>8.9</v>
      </c>
      <c r="G16" s="9">
        <v>12</v>
      </c>
      <c r="H16" s="9">
        <v>8</v>
      </c>
      <c r="I16" s="9">
        <v>4.3</v>
      </c>
      <c r="J16" s="9"/>
    </row>
    <row r="17" spans="1:10" x14ac:dyDescent="0.25">
      <c r="A17" s="2" t="s">
        <v>38</v>
      </c>
      <c r="C17" s="9">
        <v>-1.7</v>
      </c>
      <c r="D17" s="9">
        <v>1</v>
      </c>
      <c r="E17" s="9">
        <v>9.3000000000000007</v>
      </c>
      <c r="F17" s="9">
        <v>4.5999999999999996</v>
      </c>
      <c r="G17" s="9">
        <v>9.3000000000000007</v>
      </c>
      <c r="H17" s="9">
        <v>4.7</v>
      </c>
      <c r="I17" s="9">
        <v>2.2999999999999998</v>
      </c>
      <c r="J17" s="9"/>
    </row>
    <row r="18" spans="1:10" x14ac:dyDescent="0.25">
      <c r="A18" s="2" t="s">
        <v>39</v>
      </c>
      <c r="C18" s="9">
        <v>0.4</v>
      </c>
      <c r="D18" s="9">
        <v>0.7</v>
      </c>
      <c r="E18" s="9">
        <v>3.8</v>
      </c>
      <c r="F18" s="9">
        <v>0.9</v>
      </c>
      <c r="G18" s="9">
        <v>3.8</v>
      </c>
      <c r="H18" s="9">
        <v>3.3</v>
      </c>
      <c r="I18" s="9">
        <v>0.3</v>
      </c>
      <c r="J18" s="9"/>
    </row>
    <row r="19" spans="1:10" x14ac:dyDescent="0.25">
      <c r="A19" s="2" t="s">
        <v>40</v>
      </c>
      <c r="C19" s="9">
        <v>0.4</v>
      </c>
      <c r="D19" s="9">
        <v>0.7</v>
      </c>
      <c r="E19" s="9">
        <v>3.7</v>
      </c>
      <c r="F19" s="9">
        <v>0.7</v>
      </c>
      <c r="G19" s="9">
        <v>3.7</v>
      </c>
      <c r="H19" s="9">
        <v>3.1</v>
      </c>
      <c r="I19" s="9">
        <v>-0.2</v>
      </c>
      <c r="J19" s="9"/>
    </row>
    <row r="21" spans="1:10" x14ac:dyDescent="0.25">
      <c r="A21" s="7" t="s">
        <v>41</v>
      </c>
      <c r="B21" s="8" t="s">
        <v>42</v>
      </c>
      <c r="C21" s="8" t="s">
        <v>43</v>
      </c>
      <c r="D21" s="8" t="s">
        <v>44</v>
      </c>
      <c r="E21" s="8" t="s">
        <v>45</v>
      </c>
      <c r="F21" s="8" t="s">
        <v>46</v>
      </c>
    </row>
    <row r="22" spans="1:10" x14ac:dyDescent="0.25">
      <c r="A22" s="2" t="s">
        <v>47</v>
      </c>
      <c r="C22" s="5">
        <v>2910</v>
      </c>
      <c r="D22" s="9">
        <v>45.2</v>
      </c>
      <c r="E22" s="9">
        <v>45</v>
      </c>
      <c r="F22" s="5">
        <v>77</v>
      </c>
    </row>
    <row r="23" spans="1:10" x14ac:dyDescent="0.25">
      <c r="A23" s="2" t="s">
        <v>48</v>
      </c>
      <c r="C23" s="5">
        <v>1016</v>
      </c>
      <c r="D23" s="9">
        <v>15.8</v>
      </c>
      <c r="E23" s="9">
        <v>16</v>
      </c>
      <c r="F23" s="5">
        <v>24</v>
      </c>
    </row>
    <row r="24" spans="1:10" x14ac:dyDescent="0.25">
      <c r="A24" s="2" t="s">
        <v>49</v>
      </c>
      <c r="C24" s="5">
        <v>845</v>
      </c>
      <c r="D24" s="9">
        <v>13.1</v>
      </c>
      <c r="E24" s="9">
        <v>13</v>
      </c>
      <c r="F24" s="5">
        <v>-30</v>
      </c>
    </row>
    <row r="25" spans="1:10" x14ac:dyDescent="0.25">
      <c r="A25" s="2" t="s">
        <v>50</v>
      </c>
      <c r="C25" s="5">
        <v>1670</v>
      </c>
      <c r="D25" s="9">
        <v>25.9</v>
      </c>
      <c r="E25" s="9">
        <v>26</v>
      </c>
      <c r="F25" s="5">
        <v>41</v>
      </c>
    </row>
    <row r="26" spans="1:10" x14ac:dyDescent="0.25">
      <c r="A26" s="2" t="s">
        <v>51</v>
      </c>
      <c r="B26" s="10" t="s">
        <v>102</v>
      </c>
      <c r="C26" s="5">
        <v>6</v>
      </c>
      <c r="D26" s="9">
        <v>0</v>
      </c>
      <c r="F26" s="5">
        <v>0</v>
      </c>
    </row>
    <row r="27" spans="1:10" x14ac:dyDescent="0.25">
      <c r="A27" s="3" t="s">
        <v>53</v>
      </c>
      <c r="C27" s="11">
        <f>SUM(C22:C26)</f>
        <v>6447</v>
      </c>
      <c r="D27" s="12">
        <f>SUM(D22:D26)</f>
        <v>100</v>
      </c>
      <c r="F27" s="11">
        <f>SUM(F22:F26)</f>
        <v>112</v>
      </c>
    </row>
    <row r="29" spans="1:10" x14ac:dyDescent="0.25">
      <c r="A29" s="7" t="s">
        <v>54</v>
      </c>
      <c r="B29" s="8" t="s">
        <v>55</v>
      </c>
      <c r="C29" s="8" t="s">
        <v>56</v>
      </c>
      <c r="D29" s="8" t="s">
        <v>57</v>
      </c>
    </row>
    <row r="30" spans="1:10" x14ac:dyDescent="0.25">
      <c r="B30" s="10"/>
      <c r="C30" s="13"/>
      <c r="D30" s="13"/>
    </row>
    <row r="31" spans="1:10" x14ac:dyDescent="0.25">
      <c r="B31" s="10"/>
      <c r="C31" s="13"/>
      <c r="D31" s="13"/>
    </row>
    <row r="32" spans="1:10" x14ac:dyDescent="0.25">
      <c r="B32" s="10"/>
      <c r="C32" s="13"/>
      <c r="D32" s="13"/>
    </row>
    <row r="33" spans="1:4" x14ac:dyDescent="0.25">
      <c r="B33" s="10"/>
      <c r="C33" s="13"/>
      <c r="D33" s="13"/>
    </row>
    <row r="35" spans="1:4" x14ac:dyDescent="0.25">
      <c r="A35" s="7" t="s">
        <v>60</v>
      </c>
      <c r="B35" s="8" t="s">
        <v>61</v>
      </c>
      <c r="C35" s="8" t="s">
        <v>62</v>
      </c>
    </row>
    <row r="36" spans="1:4" x14ac:dyDescent="0.25">
      <c r="B36" s="2" t="s">
        <v>63</v>
      </c>
      <c r="C36" s="14">
        <v>3</v>
      </c>
    </row>
    <row r="37" spans="1:4" x14ac:dyDescent="0.25">
      <c r="B37" s="2" t="s">
        <v>64</v>
      </c>
      <c r="C37" s="14">
        <v>2</v>
      </c>
    </row>
    <row r="38" spans="1:4" x14ac:dyDescent="0.25">
      <c r="B38" s="2" t="s">
        <v>65</v>
      </c>
      <c r="C38" s="14">
        <v>2</v>
      </c>
    </row>
    <row r="39" spans="1:4" x14ac:dyDescent="0.25">
      <c r="B39" s="2" t="s">
        <v>66</v>
      </c>
      <c r="C39" s="14">
        <v>5</v>
      </c>
    </row>
    <row r="40" spans="1:4" x14ac:dyDescent="0.25">
      <c r="B40" s="2" t="s">
        <v>67</v>
      </c>
      <c r="C40" s="14">
        <v>9</v>
      </c>
    </row>
    <row r="41" spans="1:4" x14ac:dyDescent="0.25">
      <c r="B41" s="2" t="s">
        <v>68</v>
      </c>
      <c r="C41" s="14">
        <v>8</v>
      </c>
    </row>
    <row r="42" spans="1:4" x14ac:dyDescent="0.25">
      <c r="B42" s="2" t="s">
        <v>69</v>
      </c>
      <c r="C42" s="14">
        <v>5</v>
      </c>
    </row>
    <row r="43" spans="1:4" x14ac:dyDescent="0.25">
      <c r="B43" s="2" t="s">
        <v>70</v>
      </c>
      <c r="C43" s="14">
        <v>18</v>
      </c>
    </row>
    <row r="44" spans="1:4" x14ac:dyDescent="0.25">
      <c r="B44" s="2" t="s">
        <v>71</v>
      </c>
      <c r="C44" s="14">
        <v>31</v>
      </c>
    </row>
    <row r="45" spans="1:4" x14ac:dyDescent="0.25">
      <c r="B45" s="2" t="s">
        <v>72</v>
      </c>
      <c r="C45" s="14">
        <v>15</v>
      </c>
    </row>
    <row r="46" spans="1:4" x14ac:dyDescent="0.25">
      <c r="B46" s="2" t="s">
        <v>73</v>
      </c>
      <c r="C46" s="14">
        <v>10</v>
      </c>
    </row>
    <row r="47" spans="1:4" x14ac:dyDescent="0.25">
      <c r="B47" s="2" t="s">
        <v>74</v>
      </c>
      <c r="C47" s="14">
        <v>4</v>
      </c>
    </row>
    <row r="48" spans="1:4" x14ac:dyDescent="0.25">
      <c r="B48" s="2" t="s">
        <v>75</v>
      </c>
      <c r="C48" s="14">
        <v>3</v>
      </c>
    </row>
    <row r="49" spans="1:4" x14ac:dyDescent="0.25">
      <c r="B49" s="2" t="s">
        <v>76</v>
      </c>
      <c r="C49" s="14">
        <v>5</v>
      </c>
    </row>
    <row r="51" spans="1:4" x14ac:dyDescent="0.25">
      <c r="B51" s="2" t="s">
        <v>77</v>
      </c>
      <c r="C51" s="6">
        <v>0.81</v>
      </c>
    </row>
    <row r="52" spans="1:4" x14ac:dyDescent="0.25">
      <c r="B52" s="2" t="s">
        <v>78</v>
      </c>
      <c r="C52" s="6">
        <v>0.55000000000000004</v>
      </c>
    </row>
    <row r="53" spans="1:4" x14ac:dyDescent="0.25">
      <c r="B53" s="2" t="s">
        <v>79</v>
      </c>
      <c r="C53" s="6">
        <v>3.11</v>
      </c>
    </row>
    <row r="54" spans="1:4" x14ac:dyDescent="0.25">
      <c r="B54" s="2" t="s">
        <v>80</v>
      </c>
      <c r="C54" s="6">
        <v>-12.2</v>
      </c>
    </row>
    <row r="55" spans="1:4" x14ac:dyDescent="0.25">
      <c r="B55" s="2" t="s">
        <v>81</v>
      </c>
      <c r="C55" s="6">
        <v>8.6</v>
      </c>
    </row>
    <row r="56" spans="1:4" x14ac:dyDescent="0.25">
      <c r="B56" s="2" t="s">
        <v>82</v>
      </c>
      <c r="C56" s="6">
        <v>0.2</v>
      </c>
    </row>
    <row r="58" spans="1:4" x14ac:dyDescent="0.25">
      <c r="A58" s="7" t="s">
        <v>83</v>
      </c>
      <c r="B58" s="8"/>
      <c r="C58" s="8" t="s">
        <v>84</v>
      </c>
      <c r="D58" s="8" t="s">
        <v>85</v>
      </c>
    </row>
    <row r="59" spans="1:4" x14ac:dyDescent="0.25">
      <c r="A59" s="2" t="s">
        <v>86</v>
      </c>
      <c r="C59" s="9">
        <v>94</v>
      </c>
      <c r="D59" s="14">
        <v>26</v>
      </c>
    </row>
    <row r="60" spans="1:4" x14ac:dyDescent="0.25">
      <c r="A60" s="2" t="s">
        <v>87</v>
      </c>
      <c r="C60" s="9">
        <v>6</v>
      </c>
      <c r="D60" s="14">
        <v>35</v>
      </c>
    </row>
    <row r="61" spans="1:4" x14ac:dyDescent="0.25">
      <c r="A61" s="2" t="s">
        <v>88</v>
      </c>
      <c r="D61" s="14">
        <v>61</v>
      </c>
    </row>
    <row r="62" spans="1:4" x14ac:dyDescent="0.25">
      <c r="A62" s="3" t="s">
        <v>89</v>
      </c>
    </row>
    <row r="63" spans="1:4" x14ac:dyDescent="0.25">
      <c r="B63" s="10" t="s">
        <v>90</v>
      </c>
      <c r="C63" s="9">
        <v>79.599999999999994</v>
      </c>
    </row>
    <row r="64" spans="1:4" x14ac:dyDescent="0.25">
      <c r="B64" s="10" t="s">
        <v>93</v>
      </c>
      <c r="C64" s="9">
        <v>2.7</v>
      </c>
    </row>
    <row r="65" spans="1:3" x14ac:dyDescent="0.25">
      <c r="B65" s="10" t="s">
        <v>92</v>
      </c>
      <c r="C65" s="9">
        <v>2.2999999999999998</v>
      </c>
    </row>
    <row r="66" spans="1:3" x14ac:dyDescent="0.25">
      <c r="B66" s="10" t="s">
        <v>91</v>
      </c>
      <c r="C66" s="9">
        <v>2</v>
      </c>
    </row>
    <row r="67" spans="1:3" x14ac:dyDescent="0.25">
      <c r="B67" s="10" t="s">
        <v>103</v>
      </c>
      <c r="C67" s="9">
        <v>1</v>
      </c>
    </row>
    <row r="68" spans="1:3" x14ac:dyDescent="0.25">
      <c r="A68" s="3" t="s">
        <v>95</v>
      </c>
    </row>
    <row r="69" spans="1:3" x14ac:dyDescent="0.25">
      <c r="B69" s="10" t="s">
        <v>97</v>
      </c>
      <c r="C69" s="9">
        <v>1.6</v>
      </c>
    </row>
    <row r="70" spans="1:3" x14ac:dyDescent="0.25">
      <c r="B70" s="10" t="s">
        <v>98</v>
      </c>
      <c r="C70" s="9">
        <v>1.3</v>
      </c>
    </row>
    <row r="71" spans="1:3" x14ac:dyDescent="0.25">
      <c r="B71" s="10" t="s">
        <v>96</v>
      </c>
      <c r="C71" s="9">
        <v>1</v>
      </c>
    </row>
    <row r="72" spans="1:3" x14ac:dyDescent="0.25">
      <c r="B72" s="10" t="s">
        <v>100</v>
      </c>
      <c r="C72" s="9">
        <v>0.7</v>
      </c>
    </row>
    <row r="73" spans="1:3" x14ac:dyDescent="0.25">
      <c r="B73" s="10" t="s">
        <v>99</v>
      </c>
      <c r="C73" s="9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showGridLines="0" workbookViewId="0"/>
  </sheetViews>
  <sheetFormatPr defaultRowHeight="15" x14ac:dyDescent="0.25"/>
  <cols>
    <col min="1" max="1" width="28" customWidth="1"/>
    <col min="2" max="2" width="26" customWidth="1"/>
    <col min="3" max="3" width="48" customWidth="1"/>
  </cols>
  <sheetData>
    <row r="1" spans="1:11" ht="18" x14ac:dyDescent="0.25">
      <c r="A1" s="1" t="s">
        <v>104</v>
      </c>
    </row>
    <row r="2" spans="1:11" x14ac:dyDescent="0.25">
      <c r="A2" s="3" t="s">
        <v>105</v>
      </c>
    </row>
    <row r="4" spans="1:11" x14ac:dyDescent="0.25">
      <c r="A4" s="7" t="s">
        <v>106</v>
      </c>
      <c r="B4" s="8" t="s">
        <v>107</v>
      </c>
      <c r="C4" s="8" t="s">
        <v>108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</row>
    <row r="5" spans="1:11" x14ac:dyDescent="0.25">
      <c r="A5" s="10" t="s">
        <v>109</v>
      </c>
      <c r="B5" s="10" t="s">
        <v>110</v>
      </c>
      <c r="C5" s="10" t="s">
        <v>111</v>
      </c>
      <c r="D5" s="9">
        <v>-0.7</v>
      </c>
      <c r="E5" s="9">
        <v>2.2000000000000002</v>
      </c>
      <c r="F5" s="9">
        <v>-0.7</v>
      </c>
      <c r="G5" s="9">
        <v>6.6</v>
      </c>
      <c r="H5" s="9">
        <v>14.3</v>
      </c>
      <c r="I5" s="9">
        <v>12.1</v>
      </c>
      <c r="J5" s="9">
        <v>6.1</v>
      </c>
      <c r="K5" s="9">
        <v>7.9</v>
      </c>
    </row>
    <row r="6" spans="1:11" x14ac:dyDescent="0.25">
      <c r="A6" s="10" t="s">
        <v>112</v>
      </c>
      <c r="B6" s="10" t="s">
        <v>113</v>
      </c>
      <c r="C6" s="10" t="s">
        <v>114</v>
      </c>
      <c r="D6" s="9">
        <v>-0.1</v>
      </c>
      <c r="E6" s="9">
        <v>4.2</v>
      </c>
      <c r="F6" s="9">
        <v>-0.1</v>
      </c>
      <c r="G6" s="9">
        <v>10.1</v>
      </c>
      <c r="H6" s="9">
        <v>19.600000000000001</v>
      </c>
      <c r="I6" s="9">
        <v>19.3</v>
      </c>
      <c r="J6" s="9">
        <v>12.9</v>
      </c>
      <c r="K6" s="9">
        <v>15.1</v>
      </c>
    </row>
    <row r="7" spans="1:11" x14ac:dyDescent="0.25">
      <c r="A7" s="10" t="s">
        <v>112</v>
      </c>
      <c r="B7" s="10" t="s">
        <v>115</v>
      </c>
      <c r="C7" s="10" t="s">
        <v>116</v>
      </c>
      <c r="D7" s="9">
        <v>-3</v>
      </c>
      <c r="E7" s="9">
        <v>5</v>
      </c>
      <c r="F7" s="9">
        <v>-3</v>
      </c>
      <c r="G7" s="9">
        <v>18.899999999999999</v>
      </c>
      <c r="H7" s="9">
        <v>34.200000000000003</v>
      </c>
      <c r="I7" s="9">
        <v>15.1</v>
      </c>
      <c r="J7" s="9">
        <v>7.1</v>
      </c>
      <c r="K7" s="9">
        <v>10.6</v>
      </c>
    </row>
    <row r="8" spans="1:11" x14ac:dyDescent="0.25">
      <c r="A8" s="10" t="s">
        <v>112</v>
      </c>
      <c r="B8" s="10" t="s">
        <v>117</v>
      </c>
      <c r="C8" s="10" t="s">
        <v>118</v>
      </c>
      <c r="D8" s="9">
        <v>0.2</v>
      </c>
      <c r="E8" s="9">
        <v>4</v>
      </c>
      <c r="F8" s="9">
        <v>0.2</v>
      </c>
      <c r="G8" s="9">
        <v>13.3</v>
      </c>
      <c r="H8" s="9">
        <v>27.1</v>
      </c>
      <c r="I8" s="9">
        <v>16.899999999999999</v>
      </c>
      <c r="J8" s="9">
        <v>8.8000000000000007</v>
      </c>
      <c r="K8" s="9">
        <v>9.3000000000000007</v>
      </c>
    </row>
    <row r="9" spans="1:11" x14ac:dyDescent="0.25">
      <c r="A9" s="10" t="s">
        <v>112</v>
      </c>
      <c r="B9" s="10" t="s">
        <v>119</v>
      </c>
      <c r="C9" s="10" t="s">
        <v>120</v>
      </c>
      <c r="D9" s="9">
        <v>-3.1</v>
      </c>
      <c r="E9" s="9">
        <v>4.8</v>
      </c>
      <c r="F9" s="9">
        <v>-3.1</v>
      </c>
      <c r="G9" s="9">
        <v>20</v>
      </c>
      <c r="H9" s="9">
        <v>36.4</v>
      </c>
      <c r="I9" s="9">
        <v>19.3</v>
      </c>
      <c r="J9" s="9">
        <v>8</v>
      </c>
      <c r="K9" s="9">
        <v>9.1999999999999993</v>
      </c>
    </row>
    <row r="10" spans="1:11" x14ac:dyDescent="0.25">
      <c r="A10" s="10" t="s">
        <v>121</v>
      </c>
      <c r="B10" s="10" t="s">
        <v>122</v>
      </c>
      <c r="C10" s="10" t="s">
        <v>123</v>
      </c>
      <c r="D10" s="9">
        <v>-0.5</v>
      </c>
      <c r="E10" s="9">
        <v>6.5</v>
      </c>
      <c r="F10" s="9">
        <v>-0.5</v>
      </c>
      <c r="G10" s="9">
        <v>11.8</v>
      </c>
      <c r="H10" s="9">
        <v>22.3</v>
      </c>
      <c r="I10" s="9">
        <v>24.3</v>
      </c>
      <c r="J10" s="9">
        <v>8.6</v>
      </c>
      <c r="K10" s="9">
        <v>13.4</v>
      </c>
    </row>
    <row r="11" spans="1:11" x14ac:dyDescent="0.25">
      <c r="A11" s="10" t="s">
        <v>124</v>
      </c>
      <c r="B11" s="10" t="s">
        <v>125</v>
      </c>
      <c r="C11" s="10" t="s">
        <v>126</v>
      </c>
      <c r="D11" s="9">
        <v>-0.2</v>
      </c>
      <c r="E11" s="9">
        <v>0.5</v>
      </c>
      <c r="F11" s="9">
        <v>-0.2</v>
      </c>
      <c r="G11" s="9">
        <v>1.7</v>
      </c>
      <c r="H11" s="9">
        <v>5.2</v>
      </c>
      <c r="I11" s="9">
        <v>8.3000000000000007</v>
      </c>
      <c r="J11" s="9">
        <v>4</v>
      </c>
      <c r="K11" s="9">
        <v>5.5</v>
      </c>
    </row>
    <row r="12" spans="1:11" x14ac:dyDescent="0.25">
      <c r="A12" s="10" t="s">
        <v>124</v>
      </c>
      <c r="B12" s="10" t="s">
        <v>127</v>
      </c>
      <c r="C12" s="10" t="s">
        <v>128</v>
      </c>
      <c r="D12" s="9">
        <v>-4</v>
      </c>
      <c r="E12" s="9">
        <v>-2.5</v>
      </c>
      <c r="F12" s="9">
        <v>-4</v>
      </c>
      <c r="G12" s="9">
        <v>-3.6</v>
      </c>
      <c r="H12" s="9">
        <v>-0.3</v>
      </c>
      <c r="I12" s="9">
        <v>-1.1000000000000001</v>
      </c>
      <c r="J12" s="9">
        <v>-7</v>
      </c>
      <c r="K12" s="9">
        <v>-2</v>
      </c>
    </row>
    <row r="13" spans="1:11" x14ac:dyDescent="0.25">
      <c r="A13" s="10" t="s">
        <v>124</v>
      </c>
      <c r="B13" s="10" t="s">
        <v>129</v>
      </c>
      <c r="C13" s="10" t="s">
        <v>130</v>
      </c>
      <c r="D13" s="9">
        <v>0.8</v>
      </c>
      <c r="E13" s="9">
        <v>1.4</v>
      </c>
      <c r="F13" s="9">
        <v>0.8</v>
      </c>
      <c r="G13" s="9">
        <v>2.2000000000000002</v>
      </c>
      <c r="H13" s="9">
        <v>4.3</v>
      </c>
      <c r="I13" s="9">
        <v>7.4</v>
      </c>
      <c r="J13" s="9">
        <v>6.1</v>
      </c>
      <c r="K13" s="9">
        <v>5.4</v>
      </c>
    </row>
    <row r="14" spans="1:11" x14ac:dyDescent="0.25">
      <c r="A14" s="10" t="s">
        <v>131</v>
      </c>
      <c r="B14" s="10" t="s">
        <v>132</v>
      </c>
      <c r="C14" s="10" t="s">
        <v>133</v>
      </c>
      <c r="D14" s="9">
        <v>7.5</v>
      </c>
      <c r="E14" s="9">
        <v>-1.8</v>
      </c>
      <c r="F14" s="9">
        <v>7.5</v>
      </c>
      <c r="G14" s="9">
        <v>17.899999999999999</v>
      </c>
      <c r="H14" s="9">
        <v>37</v>
      </c>
      <c r="I14" s="9">
        <v>11.8</v>
      </c>
      <c r="J14" s="9">
        <v>11</v>
      </c>
      <c r="K14" s="9">
        <v>10.7</v>
      </c>
    </row>
    <row r="15" spans="1:11" x14ac:dyDescent="0.25">
      <c r="A15" s="10" t="s">
        <v>131</v>
      </c>
      <c r="B15" s="10" t="s">
        <v>134</v>
      </c>
      <c r="C15" s="10" t="s">
        <v>135</v>
      </c>
      <c r="D15" s="9">
        <v>1.1000000000000001</v>
      </c>
      <c r="E15" s="9">
        <v>-2</v>
      </c>
      <c r="F15" s="9">
        <v>1.1000000000000001</v>
      </c>
      <c r="G15" s="9">
        <v>12.2</v>
      </c>
      <c r="H15" s="9">
        <v>15.8</v>
      </c>
      <c r="I15" s="9">
        <v>13.3</v>
      </c>
      <c r="J15" s="9">
        <v>8.5</v>
      </c>
      <c r="K15" s="9">
        <v>7</v>
      </c>
    </row>
    <row r="16" spans="1:11" x14ac:dyDescent="0.25">
      <c r="A16" s="10" t="s">
        <v>131</v>
      </c>
      <c r="B16" s="10" t="s">
        <v>136</v>
      </c>
      <c r="C16" s="10" t="s">
        <v>137</v>
      </c>
      <c r="D16" s="9">
        <v>0.2</v>
      </c>
      <c r="E16" s="9">
        <v>-0.1</v>
      </c>
      <c r="F16" s="9">
        <v>0.2</v>
      </c>
      <c r="G16" s="9">
        <v>1.8</v>
      </c>
      <c r="H16" s="9">
        <v>3.5</v>
      </c>
      <c r="I16" s="9">
        <v>5</v>
      </c>
      <c r="J16" s="9">
        <v>3.1</v>
      </c>
      <c r="K16" s="9">
        <v>3.1</v>
      </c>
    </row>
    <row r="17" spans="1:11" x14ac:dyDescent="0.25">
      <c r="A17" s="10" t="s">
        <v>131</v>
      </c>
      <c r="B17" s="10" t="s">
        <v>138</v>
      </c>
      <c r="C17" s="10" t="s">
        <v>139</v>
      </c>
      <c r="D17" s="9">
        <v>0</v>
      </c>
      <c r="E17" s="9">
        <v>1.3</v>
      </c>
      <c r="F17" s="9">
        <v>0</v>
      </c>
      <c r="G17" s="9">
        <v>2.2999999999999998</v>
      </c>
      <c r="H17" s="9">
        <v>3.6</v>
      </c>
      <c r="I17" s="9">
        <v>-1.4</v>
      </c>
      <c r="J17" s="9">
        <v>1.9</v>
      </c>
      <c r="K17" s="9">
        <v>3.7</v>
      </c>
    </row>
    <row r="18" spans="1:11" x14ac:dyDescent="0.25">
      <c r="A18" s="10"/>
      <c r="B18" s="10"/>
      <c r="C18" s="10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10"/>
      <c r="B19" s="10"/>
      <c r="C19" s="10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10"/>
      <c r="B20" s="10"/>
      <c r="C20" s="10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10"/>
      <c r="B21" s="10"/>
      <c r="C21" s="10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10"/>
      <c r="B22" s="10"/>
      <c r="C22" s="10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10"/>
      <c r="B23" s="10"/>
      <c r="C23" s="10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10"/>
      <c r="B24" s="10"/>
      <c r="C24" s="10"/>
      <c r="D24" s="9"/>
      <c r="E24" s="9"/>
      <c r="F24" s="9"/>
      <c r="G24" s="9"/>
      <c r="H24" s="9"/>
      <c r="I24" s="9"/>
      <c r="J24" s="9"/>
      <c r="K24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/>
  </sheetViews>
  <sheetFormatPr defaultRowHeight="15" x14ac:dyDescent="0.25"/>
  <cols>
    <col min="1" max="1" width="40" customWidth="1"/>
    <col min="2" max="2" width="22" customWidth="1"/>
    <col min="3" max="3" width="100" customWidth="1"/>
  </cols>
  <sheetData>
    <row r="1" spans="1:3" ht="18" x14ac:dyDescent="0.25">
      <c r="A1" s="1" t="s">
        <v>140</v>
      </c>
    </row>
    <row r="2" spans="1:3" x14ac:dyDescent="0.25">
      <c r="A2" s="3" t="s">
        <v>141</v>
      </c>
    </row>
    <row r="4" spans="1:3" x14ac:dyDescent="0.25">
      <c r="A4" s="7" t="s">
        <v>142</v>
      </c>
      <c r="B4" s="8" t="s">
        <v>143</v>
      </c>
      <c r="C4" s="8" t="s">
        <v>144</v>
      </c>
    </row>
    <row r="5" spans="1:3" x14ac:dyDescent="0.25">
      <c r="A5" s="10" t="s">
        <v>145</v>
      </c>
      <c r="B5" s="10" t="s">
        <v>146</v>
      </c>
      <c r="C5" s="10" t="s">
        <v>147</v>
      </c>
    </row>
    <row r="6" spans="1:3" x14ac:dyDescent="0.25">
      <c r="A6" s="10" t="s">
        <v>148</v>
      </c>
      <c r="B6" s="10" t="s">
        <v>149</v>
      </c>
      <c r="C6" s="10" t="s">
        <v>150</v>
      </c>
    </row>
    <row r="7" spans="1:3" x14ac:dyDescent="0.25">
      <c r="A7" s="10" t="s">
        <v>151</v>
      </c>
      <c r="B7" s="10" t="s">
        <v>152</v>
      </c>
      <c r="C7" s="10" t="s">
        <v>153</v>
      </c>
    </row>
    <row r="8" spans="1:3" x14ac:dyDescent="0.25">
      <c r="A8" s="10" t="s">
        <v>154</v>
      </c>
      <c r="B8" s="10" t="s">
        <v>155</v>
      </c>
      <c r="C8" s="10" t="s">
        <v>156</v>
      </c>
    </row>
    <row r="9" spans="1:3" x14ac:dyDescent="0.25">
      <c r="A9" s="10" t="s">
        <v>157</v>
      </c>
      <c r="B9" s="10" t="s">
        <v>158</v>
      </c>
      <c r="C9" s="10" t="s">
        <v>159</v>
      </c>
    </row>
    <row r="10" spans="1:3" x14ac:dyDescent="0.25">
      <c r="A10" s="10" t="s">
        <v>160</v>
      </c>
      <c r="B10" s="10" t="s">
        <v>161</v>
      </c>
      <c r="C10" s="10" t="s">
        <v>162</v>
      </c>
    </row>
    <row r="11" spans="1:3" x14ac:dyDescent="0.25">
      <c r="A11" s="10"/>
      <c r="B11" s="10"/>
      <c r="C11" s="10"/>
    </row>
    <row r="12" spans="1:3" x14ac:dyDescent="0.25">
      <c r="A12" s="10"/>
      <c r="B12" s="10"/>
      <c r="C12" s="1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showGridLines="0" workbookViewId="0"/>
  </sheetViews>
  <sheetFormatPr defaultRowHeight="15" x14ac:dyDescent="0.25"/>
  <cols>
    <col min="1" max="1" width="24" customWidth="1"/>
    <col min="2" max="2" width="100" customWidth="1"/>
    <col min="3" max="3" width="16" customWidth="1"/>
    <col min="4" max="4" width="8" customWidth="1"/>
  </cols>
  <sheetData>
    <row r="1" spans="1:4" ht="18" x14ac:dyDescent="0.25">
      <c r="A1" s="1" t="s">
        <v>163</v>
      </c>
    </row>
    <row r="2" spans="1:4" x14ac:dyDescent="0.25">
      <c r="A2" s="3" t="s">
        <v>164</v>
      </c>
    </row>
    <row r="4" spans="1:4" x14ac:dyDescent="0.25">
      <c r="A4" s="7" t="s">
        <v>165</v>
      </c>
      <c r="B4" s="8" t="s">
        <v>166</v>
      </c>
      <c r="C4" s="8" t="s">
        <v>167</v>
      </c>
      <c r="D4" s="8" t="s">
        <v>168</v>
      </c>
    </row>
    <row r="5" spans="1:4" x14ac:dyDescent="0.25">
      <c r="A5" s="10" t="s">
        <v>169</v>
      </c>
      <c r="B5" s="10" t="s">
        <v>170</v>
      </c>
      <c r="C5" s="10" t="s">
        <v>171</v>
      </c>
      <c r="D5" s="14">
        <v>19</v>
      </c>
    </row>
    <row r="6" spans="1:4" x14ac:dyDescent="0.25">
      <c r="A6" s="10" t="s">
        <v>169</v>
      </c>
      <c r="B6" s="10" t="s">
        <v>172</v>
      </c>
      <c r="C6" s="10" t="s">
        <v>171</v>
      </c>
      <c r="D6" s="14">
        <v>19</v>
      </c>
    </row>
    <row r="7" spans="1:4" x14ac:dyDescent="0.25">
      <c r="A7" s="10" t="s">
        <v>169</v>
      </c>
      <c r="B7" s="10" t="s">
        <v>173</v>
      </c>
      <c r="C7" s="10" t="s">
        <v>171</v>
      </c>
      <c r="D7" s="14">
        <v>19</v>
      </c>
    </row>
    <row r="8" spans="1:4" x14ac:dyDescent="0.25">
      <c r="A8" s="10" t="s">
        <v>169</v>
      </c>
      <c r="B8" s="10" t="s">
        <v>174</v>
      </c>
      <c r="C8" s="10" t="s">
        <v>171</v>
      </c>
      <c r="D8" s="14">
        <v>19</v>
      </c>
    </row>
    <row r="9" spans="1:4" x14ac:dyDescent="0.25">
      <c r="A9" s="10" t="s">
        <v>175</v>
      </c>
      <c r="B9" s="10" t="s">
        <v>170</v>
      </c>
      <c r="C9" s="10" t="s">
        <v>171</v>
      </c>
      <c r="D9" s="14">
        <v>19</v>
      </c>
    </row>
    <row r="10" spans="1:4" x14ac:dyDescent="0.25">
      <c r="A10" s="10" t="s">
        <v>175</v>
      </c>
      <c r="B10" s="10" t="s">
        <v>174</v>
      </c>
      <c r="C10" s="10" t="s">
        <v>171</v>
      </c>
      <c r="D10" s="14">
        <v>19</v>
      </c>
    </row>
    <row r="11" spans="1:4" x14ac:dyDescent="0.25">
      <c r="A11" s="10" t="s">
        <v>176</v>
      </c>
      <c r="B11" s="10" t="s">
        <v>177</v>
      </c>
      <c r="C11" s="10" t="s">
        <v>178</v>
      </c>
      <c r="D11" s="14">
        <v>19</v>
      </c>
    </row>
    <row r="12" spans="1:4" x14ac:dyDescent="0.25">
      <c r="A12" s="10" t="s">
        <v>176</v>
      </c>
      <c r="B12" s="10" t="s">
        <v>179</v>
      </c>
      <c r="C12" s="10" t="s">
        <v>178</v>
      </c>
      <c r="D12" s="14">
        <v>19</v>
      </c>
    </row>
    <row r="13" spans="1:4" x14ac:dyDescent="0.25">
      <c r="A13" s="10" t="s">
        <v>176</v>
      </c>
      <c r="B13" s="10" t="s">
        <v>180</v>
      </c>
      <c r="C13" s="10" t="s">
        <v>171</v>
      </c>
      <c r="D13" s="14">
        <v>19</v>
      </c>
    </row>
    <row r="14" spans="1:4" x14ac:dyDescent="0.25">
      <c r="A14" s="10" t="s">
        <v>176</v>
      </c>
      <c r="B14" s="10" t="s">
        <v>181</v>
      </c>
      <c r="C14" s="10" t="s">
        <v>182</v>
      </c>
      <c r="D14" s="14">
        <v>19</v>
      </c>
    </row>
    <row r="15" spans="1:4" x14ac:dyDescent="0.25">
      <c r="A15" s="10" t="s">
        <v>183</v>
      </c>
      <c r="B15" s="10" t="s">
        <v>184</v>
      </c>
      <c r="C15" s="10" t="s">
        <v>185</v>
      </c>
      <c r="D15" s="14">
        <v>20</v>
      </c>
    </row>
    <row r="16" spans="1:4" x14ac:dyDescent="0.25">
      <c r="A16" s="10" t="s">
        <v>186</v>
      </c>
      <c r="B16" s="10" t="s">
        <v>187</v>
      </c>
      <c r="C16" s="10" t="s">
        <v>188</v>
      </c>
      <c r="D16" s="14">
        <v>24</v>
      </c>
    </row>
    <row r="17" spans="1:4" x14ac:dyDescent="0.25">
      <c r="A17" s="10"/>
      <c r="B17" s="10"/>
      <c r="C17" s="10"/>
      <c r="D17" s="14"/>
    </row>
    <row r="18" spans="1:4" x14ac:dyDescent="0.25">
      <c r="A18" s="10"/>
      <c r="B18" s="10"/>
      <c r="C18" s="10"/>
      <c r="D18" s="14"/>
    </row>
    <row r="19" spans="1:4" x14ac:dyDescent="0.25">
      <c r="A19" s="10"/>
      <c r="B19" s="10"/>
      <c r="C19" s="10"/>
      <c r="D19" s="14"/>
    </row>
    <row r="20" spans="1:4" x14ac:dyDescent="0.25">
      <c r="A20" s="10"/>
      <c r="B20" s="10"/>
      <c r="C20" s="10"/>
      <c r="D20" s="14"/>
    </row>
    <row r="21" spans="1:4" x14ac:dyDescent="0.25">
      <c r="A21" s="10"/>
      <c r="B21" s="10"/>
      <c r="C21" s="10"/>
      <c r="D21" s="14"/>
    </row>
    <row r="22" spans="1:4" x14ac:dyDescent="0.25">
      <c r="A22" s="10"/>
      <c r="B22" s="10"/>
      <c r="C22" s="10"/>
      <c r="D22" s="14"/>
    </row>
    <row r="23" spans="1:4" x14ac:dyDescent="0.25">
      <c r="A23" s="10"/>
      <c r="B23" s="10"/>
      <c r="C23" s="10"/>
      <c r="D23" s="14"/>
    </row>
    <row r="24" spans="1:4" x14ac:dyDescent="0.25">
      <c r="A24" s="10"/>
      <c r="B24" s="10"/>
      <c r="C24" s="10"/>
      <c r="D24" s="14"/>
    </row>
    <row r="25" spans="1:4" x14ac:dyDescent="0.25">
      <c r="A25" s="10"/>
      <c r="B25" s="10"/>
      <c r="C25" s="10"/>
      <c r="D25" s="14"/>
    </row>
    <row r="26" spans="1:4" x14ac:dyDescent="0.25">
      <c r="A26" s="10"/>
      <c r="B26" s="10"/>
      <c r="C26" s="10"/>
      <c r="D26" s="14"/>
    </row>
    <row r="27" spans="1:4" x14ac:dyDescent="0.25">
      <c r="A27" s="10"/>
      <c r="B27" s="10"/>
      <c r="C27" s="10"/>
      <c r="D27" s="14"/>
    </row>
    <row r="28" spans="1:4" x14ac:dyDescent="0.25">
      <c r="A28" s="10"/>
      <c r="B28" s="10"/>
      <c r="C28" s="10"/>
      <c r="D28" s="14"/>
    </row>
    <row r="29" spans="1:4" x14ac:dyDescent="0.25">
      <c r="A29" s="10"/>
      <c r="B29" s="10"/>
      <c r="C29" s="10"/>
      <c r="D29" s="14"/>
    </row>
    <row r="30" spans="1:4" x14ac:dyDescent="0.25">
      <c r="A30" s="10"/>
      <c r="B30" s="10"/>
      <c r="C30" s="10"/>
      <c r="D30" s="14"/>
    </row>
    <row r="31" spans="1:4" x14ac:dyDescent="0.25">
      <c r="A31" s="10"/>
      <c r="B31" s="10"/>
      <c r="C31" s="10"/>
      <c r="D31" s="14"/>
    </row>
    <row r="32" spans="1:4" x14ac:dyDescent="0.25">
      <c r="A32" s="10"/>
      <c r="B32" s="10"/>
      <c r="C32" s="10"/>
      <c r="D32" s="14"/>
    </row>
    <row r="33" spans="1:4" x14ac:dyDescent="0.25">
      <c r="A33" s="10"/>
      <c r="B33" s="10"/>
      <c r="C33" s="10"/>
      <c r="D33" s="14"/>
    </row>
    <row r="34" spans="1:4" x14ac:dyDescent="0.25">
      <c r="A34" s="10"/>
      <c r="B34" s="10"/>
      <c r="C34" s="10"/>
      <c r="D34" s="14"/>
    </row>
  </sheetData>
  <dataValidations count="1">
    <dataValidation type="list" allowBlank="1" sqref="C5 C6 C7 C8 C9 C10 C11 C12 C13 C14 C15 C16 C17 C18 C19 C20 C21 C22 C23 C24 C25 C26 C27 C28 C29 C30 C31 C32 C33 C34" xr:uid="{00000000-0002-0000-0600-000000000000}">
      <formula1>"In progress,In development,For attention,Quiet period,Completed"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showGridLines="0" workbookViewId="0"/>
  </sheetViews>
  <sheetFormatPr defaultRowHeight="15" x14ac:dyDescent="0.25"/>
  <cols>
    <col min="1" max="1" width="70" customWidth="1"/>
    <col min="2" max="2" width="14" customWidth="1"/>
    <col min="3" max="3" width="10" customWidth="1"/>
  </cols>
  <sheetData>
    <row r="1" spans="1:3" ht="18" x14ac:dyDescent="0.25">
      <c r="A1" s="1" t="s">
        <v>189</v>
      </c>
    </row>
    <row r="2" spans="1:3" x14ac:dyDescent="0.25">
      <c r="A2" s="3" t="s">
        <v>190</v>
      </c>
    </row>
    <row r="4" spans="1:3" x14ac:dyDescent="0.25">
      <c r="A4" s="7" t="s">
        <v>191</v>
      </c>
      <c r="B4" s="8" t="s">
        <v>143</v>
      </c>
      <c r="C4" s="8" t="s">
        <v>192</v>
      </c>
    </row>
    <row r="5" spans="1:3" x14ac:dyDescent="0.25">
      <c r="A5" s="2" t="s">
        <v>193</v>
      </c>
      <c r="B5" s="2">
        <f>Report!C5</f>
        <v>46203</v>
      </c>
      <c r="C5" s="15" t="str">
        <f>IF(AND(ISNUMBER(Report!C5),EOMONTH(Report!C5,0)=Report!C5),"OK","CHECK")</f>
        <v>OK</v>
      </c>
    </row>
    <row r="6" spans="1:3" x14ac:dyDescent="0.25">
      <c r="A6" s="2" t="s">
        <v>194</v>
      </c>
      <c r="B6" s="2">
        <f>Report!C4</f>
        <v>46246</v>
      </c>
      <c r="C6" s="15" t="str">
        <f>IF(AND(ISNUMBER(Report!C4),Report!C4&gt;=Report!C5),"OK","CHECK")</f>
        <v>OK</v>
      </c>
    </row>
    <row r="7" spans="1:3" x14ac:dyDescent="0.25">
      <c r="A7" s="2" t="s">
        <v>195</v>
      </c>
      <c r="B7" s="2">
        <f>COUNT(Pension!C4,Pension!C5)</f>
        <v>2</v>
      </c>
      <c r="C7" s="15" t="str">
        <f>IF(COUNT(Pension!C4,Pension!C5)=2,"OK","CHECK")</f>
        <v>OK</v>
      </c>
    </row>
    <row r="8" spans="1:3" x14ac:dyDescent="0.25">
      <c r="A8" s="2" t="s">
        <v>196</v>
      </c>
      <c r="B8" s="2">
        <f>COUNT(Pension!C9,Pension!E9,Pension!G9,Pension!C10,Pension!E10,Pension!G10)</f>
        <v>6</v>
      </c>
      <c r="C8" s="15" t="str">
        <f>IF(COUNT(Pension!C9,Pension!E9,Pension!G9,Pension!C10,Pension!E10,Pension!G10)=6,"OK","CHECK")</f>
        <v>OK</v>
      </c>
    </row>
    <row r="9" spans="1:3" x14ac:dyDescent="0.25">
      <c r="A9" s="2" t="s">
        <v>197</v>
      </c>
      <c r="B9" s="2">
        <f>SUMPRODUCT(--((Pension!C12:J12="")&lt;&gt;(Pension!C13:J13="")))+SUMPRODUCT(--((Pension!C14:J14="")&lt;&gt;(Pension!C15:J15="")))+SUMPRODUCT(--((Pension!C16:J16="")&lt;&gt;(Pension!C17:J17="")))+SUMPRODUCT(--((Pension!C18:J18="")&lt;&gt;(Pension!C19:J19="")))+SUMPRODUCT(--((Pension!C9:J9="")&lt;&gt;(Pension!C10:J10="")))</f>
        <v>0</v>
      </c>
      <c r="C9" s="15" t="str">
        <f>IF(SUMPRODUCT(--((Pension!C12:J12="")&lt;&gt;(Pension!C13:J13="")))+SUMPRODUCT(--((Pension!C14:J14="")&lt;&gt;(Pension!C15:J15="")))+SUMPRODUCT(--((Pension!C16:J16="")&lt;&gt;(Pension!C17:J17="")))+SUMPRODUCT(--((Pension!C18:J18="")&lt;&gt;(Pension!C19:J19="")))+SUMPRODUCT(--((Pension!C9:J9="")&lt;&gt;(Pension!C10:J10="")))=0,"OK","CHECK")</f>
        <v>OK</v>
      </c>
    </row>
    <row r="10" spans="1:3" x14ac:dyDescent="0.25">
      <c r="A10" s="2" t="s">
        <v>198</v>
      </c>
      <c r="B10" s="2">
        <f>SUM(Pension!D22:D26)</f>
        <v>100</v>
      </c>
      <c r="C10" s="15" t="str">
        <f>IF(ABS(SUM(Pension!D22:D26)-100)&lt;=0.3,"OK","CHECK")</f>
        <v>OK</v>
      </c>
    </row>
    <row r="11" spans="1:3" x14ac:dyDescent="0.25">
      <c r="A11" s="2" t="s">
        <v>199</v>
      </c>
      <c r="B11" s="2">
        <f>SUM(Pension!C22:C26)</f>
        <v>93915</v>
      </c>
      <c r="C11" s="15" t="str">
        <f>IF(AND(ISNUMBER(Pension!C4),ABS(SUM(Pension!C22:C26)-Pension!C4)&lt;=MAX(2,0.003*Pension!C4)),"OK","CHECK")</f>
        <v>OK</v>
      </c>
    </row>
    <row r="12" spans="1:3" x14ac:dyDescent="0.25">
      <c r="A12" s="2" t="s">
        <v>200</v>
      </c>
      <c r="B12" s="2">
        <f>SUM(Pension!C36:C49)</f>
        <v>120</v>
      </c>
      <c r="C12" s="15" t="str">
        <f>IF(AND(COUNT(Pension!C36:C49)=14,SUM(Pension!C36:C49)=120),"OK","CHECK")</f>
        <v>OK</v>
      </c>
    </row>
    <row r="13" spans="1:3" x14ac:dyDescent="0.25">
      <c r="A13" s="2" t="s">
        <v>201</v>
      </c>
      <c r="B13" s="2">
        <f>COUNT(Pension!C51:C56)</f>
        <v>6</v>
      </c>
      <c r="C13" s="15" t="str">
        <f>IF(COUNT(Pension!C51:C56)=6,"OK","CHECK")</f>
        <v>OK</v>
      </c>
    </row>
    <row r="14" spans="1:3" x14ac:dyDescent="0.25">
      <c r="A14" s="2" t="s">
        <v>202</v>
      </c>
      <c r="B14" s="2">
        <f>SUM(Pension!C59:C60)</f>
        <v>100</v>
      </c>
      <c r="C14" s="15" t="str">
        <f>IF(COUNT(Pension!C59:C60)=0,"OK",IF(AND(COUNT(Pension!C59:C60)=2,ABS(SUM(Pension!C59:C60)-100)&lt;=0.2),"OK","CHECK"))</f>
        <v>OK</v>
      </c>
    </row>
    <row r="15" spans="1:3" x14ac:dyDescent="0.25">
      <c r="A15" s="2" t="s">
        <v>203</v>
      </c>
      <c r="B15" s="2">
        <f>COUNT(OPEB!C4,OPEB!C5)</f>
        <v>2</v>
      </c>
      <c r="C15" s="15" t="str">
        <f>IF(COUNT(OPEB!C4,OPEB!C5)=2,"OK","CHECK")</f>
        <v>OK</v>
      </c>
    </row>
    <row r="16" spans="1:3" x14ac:dyDescent="0.25">
      <c r="A16" s="2" t="s">
        <v>204</v>
      </c>
      <c r="B16" s="2">
        <f>COUNT(OPEB!C9,OPEB!E9,OPEB!G9,OPEB!C10,OPEB!E10,OPEB!G10)</f>
        <v>6</v>
      </c>
      <c r="C16" s="15" t="str">
        <f>IF(COUNT(OPEB!C9,OPEB!E9,OPEB!G9,OPEB!C10,OPEB!E10,OPEB!G10)=6,"OK","CHECK")</f>
        <v>OK</v>
      </c>
    </row>
    <row r="17" spans="1:3" x14ac:dyDescent="0.25">
      <c r="A17" s="2" t="s">
        <v>205</v>
      </c>
      <c r="B17" s="2">
        <f>SUMPRODUCT(--((OPEB!C12:J12="")&lt;&gt;(OPEB!C13:J13="")))+SUMPRODUCT(--((OPEB!C14:J14="")&lt;&gt;(OPEB!C15:J15="")))+SUMPRODUCT(--((OPEB!C16:J16="")&lt;&gt;(OPEB!C17:J17="")))+SUMPRODUCT(--((OPEB!C18:J18="")&lt;&gt;(OPEB!C19:J19="")))+SUMPRODUCT(--((OPEB!C9:J9="")&lt;&gt;(OPEB!C10:J10="")))</f>
        <v>0</v>
      </c>
      <c r="C17" s="15" t="str">
        <f>IF(SUMPRODUCT(--((OPEB!C12:J12="")&lt;&gt;(OPEB!C13:J13="")))+SUMPRODUCT(--((OPEB!C14:J14="")&lt;&gt;(OPEB!C15:J15="")))+SUMPRODUCT(--((OPEB!C16:J16="")&lt;&gt;(OPEB!C17:J17="")))+SUMPRODUCT(--((OPEB!C18:J18="")&lt;&gt;(OPEB!C19:J19="")))+SUMPRODUCT(--((OPEB!C9:J9="")&lt;&gt;(OPEB!C10:J10="")))=0,"OK","CHECK")</f>
        <v>OK</v>
      </c>
    </row>
    <row r="18" spans="1:3" x14ac:dyDescent="0.25">
      <c r="A18" s="2" t="s">
        <v>206</v>
      </c>
      <c r="B18" s="2">
        <f>SUM(OPEB!D22:D26)</f>
        <v>100</v>
      </c>
      <c r="C18" s="15" t="str">
        <f>IF(ABS(SUM(OPEB!D22:D26)-100)&lt;=0.3,"OK","CHECK")</f>
        <v>OK</v>
      </c>
    </row>
    <row r="19" spans="1:3" x14ac:dyDescent="0.25">
      <c r="A19" s="2" t="s">
        <v>207</v>
      </c>
      <c r="B19" s="2">
        <f>SUM(OPEB!C22:C26)</f>
        <v>6447</v>
      </c>
      <c r="C19" s="15" t="str">
        <f>IF(AND(ISNUMBER(OPEB!C4),ABS(SUM(OPEB!C22:C26)-OPEB!C4)&lt;=MAX(2,0.003*OPEB!C4)),"OK","CHECK")</f>
        <v>OK</v>
      </c>
    </row>
    <row r="20" spans="1:3" x14ac:dyDescent="0.25">
      <c r="A20" s="2" t="s">
        <v>208</v>
      </c>
      <c r="B20" s="2">
        <f>SUM(OPEB!C36:C49)</f>
        <v>120</v>
      </c>
      <c r="C20" s="15" t="str">
        <f>IF(AND(COUNT(OPEB!C36:C49)=14,SUM(OPEB!C36:C49)=120),"OK","CHECK")</f>
        <v>OK</v>
      </c>
    </row>
    <row r="21" spans="1:3" x14ac:dyDescent="0.25">
      <c r="A21" s="2" t="s">
        <v>209</v>
      </c>
      <c r="B21" s="2">
        <f>COUNT(OPEB!C51:C56)</f>
        <v>6</v>
      </c>
      <c r="C21" s="15" t="str">
        <f>IF(COUNT(OPEB!C51:C56)=6,"OK","CHECK")</f>
        <v>OK</v>
      </c>
    </row>
    <row r="22" spans="1:3" x14ac:dyDescent="0.25">
      <c r="A22" s="2" t="s">
        <v>210</v>
      </c>
      <c r="B22" s="2">
        <f>SUM(OPEB!C59:C60)</f>
        <v>100</v>
      </c>
      <c r="C22" s="15" t="str">
        <f>IF(COUNT(OPEB!C59:C60)=0,"OK",IF(AND(COUNT(OPEB!C59:C60)=2,ABS(SUM(OPEB!C59:C60)-100)&lt;=0.2),"OK","CHECK"))</f>
        <v>OK</v>
      </c>
    </row>
    <row r="23" spans="1:3" x14ac:dyDescent="0.25">
      <c r="A23" s="2" t="s">
        <v>211</v>
      </c>
      <c r="B23" s="2">
        <f>COUNTA(Markets!B5:B24)</f>
        <v>13</v>
      </c>
      <c r="C23" s="15" t="str">
        <f>IF(OR(COUNTA(Markets!B5:B24)=0,ISNUMBER(Report!C6)),"OK","CHECK")</f>
        <v>OK</v>
      </c>
    </row>
    <row r="24" spans="1:3" x14ac:dyDescent="0.25">
      <c r="A24" s="2" t="s">
        <v>212</v>
      </c>
      <c r="B24" s="2">
        <f>SUMPRODUCT(--(Markets!B5:B24&lt;&gt;""),--(Markets!A5:A24=""))</f>
        <v>0</v>
      </c>
      <c r="C24" s="15" t="str">
        <f>IF(SUMPRODUCT(--(Markets!B5:B24&lt;&gt;""),--(Markets!A5:A24=""))=0,"OK","CHECK")</f>
        <v>OK</v>
      </c>
    </row>
    <row r="26" spans="1:3" x14ac:dyDescent="0.25">
      <c r="A26" s="16" t="s">
        <v>213</v>
      </c>
      <c r="C26" s="15" t="str">
        <f>IF(COUNTIF(C5:C24,"OK")=20,"OK","CHECK")</f>
        <v>OK</v>
      </c>
    </row>
  </sheetData>
  <conditionalFormatting sqref="C5:C24">
    <cfRule type="cellIs" dxfId="3" priority="1" operator="equal">
      <formula>"OK"</formula>
    </cfRule>
    <cfRule type="cellIs" dxfId="2" priority="2" operator="equal">
      <formula>"CHECK"</formula>
    </cfRule>
  </conditionalFormatting>
  <conditionalFormatting sqref="C26">
    <cfRule type="cellIs" dxfId="1" priority="3" operator="equal">
      <formula>"OK"</formula>
    </cfRule>
    <cfRule type="cellIs" dxfId="0" priority="4" operator="equal">
      <formula>"CHECK"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9" customWidth="1"/>
    <col min="3" max="3" width="30" customWidth="1"/>
    <col min="4" max="4" width="16" customWidth="1"/>
    <col min="5" max="5" width="7" customWidth="1"/>
    <col min="6" max="6" width="12" customWidth="1"/>
    <col min="7" max="7" width="40" customWidth="1"/>
  </cols>
  <sheetData>
    <row r="1" spans="1:7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</row>
    <row r="2" spans="1:7" x14ac:dyDescent="0.25">
      <c r="A2" t="s">
        <v>221</v>
      </c>
      <c r="C2" t="s">
        <v>222</v>
      </c>
      <c r="G2" t="s">
        <v>223</v>
      </c>
    </row>
    <row r="3" spans="1:7" x14ac:dyDescent="0.25">
      <c r="A3" t="s">
        <v>221</v>
      </c>
      <c r="C3" t="s">
        <v>224</v>
      </c>
      <c r="G3" t="str">
        <f>IF(Report!C4="","",YEAR(Report!C4)&amp;"-"&amp;TEXT(MONTH(Report!C4),"00")&amp;"-"&amp;TEXT(DAY(Report!C4),"00"))</f>
        <v>2026-08-12</v>
      </c>
    </row>
    <row r="4" spans="1:7" x14ac:dyDescent="0.25">
      <c r="A4" t="s">
        <v>221</v>
      </c>
      <c r="C4" t="s">
        <v>225</v>
      </c>
      <c r="G4" t="str">
        <f>IF(Report!C5="","",YEAR(Report!C5)&amp;"-"&amp;TEXT(MONTH(Report!C5),"00")&amp;"-"&amp;TEXT(DAY(Report!C5),"00"))</f>
        <v>2026-06-30</v>
      </c>
    </row>
    <row r="5" spans="1:7" x14ac:dyDescent="0.25">
      <c r="A5" t="s">
        <v>221</v>
      </c>
      <c r="C5" t="s">
        <v>226</v>
      </c>
      <c r="G5" t="str">
        <f>IF(Report!C6="","",YEAR(Report!C6)&amp;"-"&amp;TEXT(MONTH(Report!C6),"00")&amp;"-"&amp;TEXT(DAY(Report!C6),"00"))</f>
        <v>2026-07-31</v>
      </c>
    </row>
    <row r="6" spans="1:7" x14ac:dyDescent="0.25">
      <c r="A6" t="s">
        <v>227</v>
      </c>
      <c r="B6" t="s">
        <v>228</v>
      </c>
      <c r="C6" t="s">
        <v>229</v>
      </c>
      <c r="D6" t="s">
        <v>230</v>
      </c>
      <c r="F6">
        <f>IF(Pension!C4="","",Pension!C4)</f>
        <v>93916</v>
      </c>
    </row>
    <row r="7" spans="1:7" x14ac:dyDescent="0.25">
      <c r="A7" t="s">
        <v>227</v>
      </c>
      <c r="B7" t="s">
        <v>228</v>
      </c>
      <c r="C7" t="s">
        <v>229</v>
      </c>
      <c r="D7" t="s">
        <v>231</v>
      </c>
      <c r="F7">
        <f>IF(Pension!C5="","",Pension!C5)</f>
        <v>1309</v>
      </c>
    </row>
    <row r="8" spans="1:7" x14ac:dyDescent="0.25">
      <c r="A8" t="s">
        <v>227</v>
      </c>
      <c r="B8" t="s">
        <v>228</v>
      </c>
      <c r="C8" t="s">
        <v>229</v>
      </c>
      <c r="D8" t="s">
        <v>232</v>
      </c>
      <c r="F8">
        <f>IF(Pension!C6="","",Pension!C6)</f>
        <v>1.43</v>
      </c>
    </row>
    <row r="9" spans="1:7" x14ac:dyDescent="0.25">
      <c r="A9" t="s">
        <v>233</v>
      </c>
      <c r="B9" t="s">
        <v>228</v>
      </c>
      <c r="C9" t="s">
        <v>229</v>
      </c>
      <c r="D9" t="s">
        <v>234</v>
      </c>
      <c r="E9" t="s">
        <v>22</v>
      </c>
      <c r="F9">
        <f>IF(Pension!C9="","",Pension!C9)</f>
        <v>0.1</v>
      </c>
    </row>
    <row r="10" spans="1:7" x14ac:dyDescent="0.25">
      <c r="A10" t="s">
        <v>233</v>
      </c>
      <c r="B10" t="s">
        <v>228</v>
      </c>
      <c r="C10" t="s">
        <v>229</v>
      </c>
      <c r="D10" t="s">
        <v>234</v>
      </c>
      <c r="E10" t="s">
        <v>23</v>
      </c>
      <c r="F10">
        <f>IF(Pension!D9="","",Pension!D9)</f>
        <v>5.3</v>
      </c>
    </row>
    <row r="11" spans="1:7" x14ac:dyDescent="0.25">
      <c r="A11" t="s">
        <v>233</v>
      </c>
      <c r="B11" t="s">
        <v>228</v>
      </c>
      <c r="C11" t="s">
        <v>229</v>
      </c>
      <c r="D11" t="s">
        <v>234</v>
      </c>
      <c r="E11" t="s">
        <v>24</v>
      </c>
      <c r="F11">
        <f>IF(Pension!E9="","",Pension!E9)</f>
        <v>12.2</v>
      </c>
    </row>
    <row r="12" spans="1:7" x14ac:dyDescent="0.25">
      <c r="A12" t="s">
        <v>233</v>
      </c>
      <c r="B12" t="s">
        <v>228</v>
      </c>
      <c r="C12" t="s">
        <v>229</v>
      </c>
      <c r="D12" t="s">
        <v>234</v>
      </c>
      <c r="E12" t="s">
        <v>25</v>
      </c>
      <c r="F12">
        <f>IF(Pension!F9="","",Pension!F9)</f>
        <v>5.9</v>
      </c>
    </row>
    <row r="13" spans="1:7" x14ac:dyDescent="0.25">
      <c r="A13" t="s">
        <v>233</v>
      </c>
      <c r="B13" t="s">
        <v>228</v>
      </c>
      <c r="C13" t="s">
        <v>229</v>
      </c>
      <c r="D13" t="s">
        <v>234</v>
      </c>
      <c r="E13" t="s">
        <v>26</v>
      </c>
      <c r="F13">
        <f>IF(Pension!G9="","",Pension!G9)</f>
        <v>12.2</v>
      </c>
    </row>
    <row r="14" spans="1:7" x14ac:dyDescent="0.25">
      <c r="A14" t="s">
        <v>233</v>
      </c>
      <c r="B14" t="s">
        <v>228</v>
      </c>
      <c r="C14" t="s">
        <v>229</v>
      </c>
      <c r="D14" t="s">
        <v>234</v>
      </c>
      <c r="E14" t="s">
        <v>27</v>
      </c>
      <c r="F14">
        <f>IF(Pension!H9="","",Pension!H9)</f>
        <v>10.3</v>
      </c>
    </row>
    <row r="15" spans="1:7" x14ac:dyDescent="0.25">
      <c r="A15" t="s">
        <v>233</v>
      </c>
      <c r="B15" t="s">
        <v>228</v>
      </c>
      <c r="C15" t="s">
        <v>229</v>
      </c>
      <c r="D15" t="s">
        <v>234</v>
      </c>
      <c r="E15" t="s">
        <v>28</v>
      </c>
      <c r="F15">
        <f>IF(Pension!I9="","",Pension!I9)</f>
        <v>7.4</v>
      </c>
    </row>
    <row r="16" spans="1:7" x14ac:dyDescent="0.25">
      <c r="A16" t="s">
        <v>233</v>
      </c>
      <c r="B16" t="s">
        <v>228</v>
      </c>
      <c r="C16" t="s">
        <v>229</v>
      </c>
      <c r="D16" t="s">
        <v>234</v>
      </c>
      <c r="E16" t="s">
        <v>29</v>
      </c>
      <c r="F16">
        <f>IF(Pension!J9="","",Pension!J9)</f>
        <v>9.1</v>
      </c>
    </row>
    <row r="17" spans="1:6" x14ac:dyDescent="0.25">
      <c r="A17" t="s">
        <v>233</v>
      </c>
      <c r="B17" t="s">
        <v>228</v>
      </c>
      <c r="C17" t="s">
        <v>229</v>
      </c>
      <c r="D17" t="s">
        <v>235</v>
      </c>
      <c r="E17" t="s">
        <v>22</v>
      </c>
      <c r="F17">
        <f>IF(Pension!C10="","",Pension!C10)</f>
        <v>-1.4</v>
      </c>
    </row>
    <row r="18" spans="1:6" x14ac:dyDescent="0.25">
      <c r="A18" t="s">
        <v>233</v>
      </c>
      <c r="B18" t="s">
        <v>228</v>
      </c>
      <c r="C18" t="s">
        <v>229</v>
      </c>
      <c r="D18" t="s">
        <v>235</v>
      </c>
      <c r="E18" t="s">
        <v>23</v>
      </c>
      <c r="F18">
        <f>IF(Pension!D10="","",Pension!D10)</f>
        <v>5.3</v>
      </c>
    </row>
    <row r="19" spans="1:6" x14ac:dyDescent="0.25">
      <c r="A19" t="s">
        <v>233</v>
      </c>
      <c r="B19" t="s">
        <v>228</v>
      </c>
      <c r="C19" t="s">
        <v>229</v>
      </c>
      <c r="D19" t="s">
        <v>235</v>
      </c>
      <c r="E19" t="s">
        <v>24</v>
      </c>
      <c r="F19">
        <f>IF(Pension!E10="","",Pension!E10)</f>
        <v>14.8</v>
      </c>
    </row>
    <row r="20" spans="1:6" x14ac:dyDescent="0.25">
      <c r="A20" t="s">
        <v>233</v>
      </c>
      <c r="B20" t="s">
        <v>228</v>
      </c>
      <c r="C20" t="s">
        <v>229</v>
      </c>
      <c r="D20" t="s">
        <v>235</v>
      </c>
      <c r="E20" t="s">
        <v>25</v>
      </c>
      <c r="F20">
        <f>IF(Pension!F10="","",Pension!F10)</f>
        <v>5.6</v>
      </c>
    </row>
    <row r="21" spans="1:6" x14ac:dyDescent="0.25">
      <c r="A21" t="s">
        <v>233</v>
      </c>
      <c r="B21" t="s">
        <v>228</v>
      </c>
      <c r="C21" t="s">
        <v>229</v>
      </c>
      <c r="D21" t="s">
        <v>235</v>
      </c>
      <c r="E21" t="s">
        <v>26</v>
      </c>
      <c r="F21">
        <f>IF(Pension!G10="","",Pension!G10)</f>
        <v>14.8</v>
      </c>
    </row>
    <row r="22" spans="1:6" x14ac:dyDescent="0.25">
      <c r="A22" t="s">
        <v>233</v>
      </c>
      <c r="B22" t="s">
        <v>228</v>
      </c>
      <c r="C22" t="s">
        <v>229</v>
      </c>
      <c r="D22" t="s">
        <v>235</v>
      </c>
      <c r="E22" t="s">
        <v>27</v>
      </c>
      <c r="F22">
        <f>IF(Pension!H10="","",Pension!H10)</f>
        <v>11.9</v>
      </c>
    </row>
    <row r="23" spans="1:6" x14ac:dyDescent="0.25">
      <c r="A23" t="s">
        <v>233</v>
      </c>
      <c r="B23" t="s">
        <v>228</v>
      </c>
      <c r="C23" t="s">
        <v>229</v>
      </c>
      <c r="D23" t="s">
        <v>235</v>
      </c>
      <c r="E23" t="s">
        <v>28</v>
      </c>
      <c r="F23">
        <f>IF(Pension!I10="","",Pension!I10)</f>
        <v>7</v>
      </c>
    </row>
    <row r="24" spans="1:6" x14ac:dyDescent="0.25">
      <c r="A24" t="s">
        <v>233</v>
      </c>
      <c r="B24" t="s">
        <v>228</v>
      </c>
      <c r="C24" t="s">
        <v>229</v>
      </c>
      <c r="D24" t="s">
        <v>235</v>
      </c>
      <c r="E24" t="s">
        <v>29</v>
      </c>
      <c r="F24">
        <f>IF(Pension!J10="","",Pension!J10)</f>
        <v>8.6</v>
      </c>
    </row>
    <row r="25" spans="1:6" x14ac:dyDescent="0.25">
      <c r="A25" t="s">
        <v>233</v>
      </c>
      <c r="B25" t="s">
        <v>228</v>
      </c>
      <c r="C25" t="s">
        <v>229</v>
      </c>
      <c r="D25" t="s">
        <v>236</v>
      </c>
      <c r="E25" t="s">
        <v>22</v>
      </c>
      <c r="F25">
        <f>IF(Pension!C11="","",Pension!C11)</f>
        <v>0.6</v>
      </c>
    </row>
    <row r="26" spans="1:6" x14ac:dyDescent="0.25">
      <c r="A26" t="s">
        <v>233</v>
      </c>
      <c r="B26" t="s">
        <v>228</v>
      </c>
      <c r="C26" t="s">
        <v>229</v>
      </c>
      <c r="D26" t="s">
        <v>236</v>
      </c>
      <c r="E26" t="s">
        <v>23</v>
      </c>
      <c r="F26">
        <f>IF(Pension!D11="","",Pension!D11)</f>
        <v>1.7</v>
      </c>
    </row>
    <row r="27" spans="1:6" x14ac:dyDescent="0.25">
      <c r="A27" t="s">
        <v>233</v>
      </c>
      <c r="B27" t="s">
        <v>228</v>
      </c>
      <c r="C27" t="s">
        <v>229</v>
      </c>
      <c r="D27" t="s">
        <v>236</v>
      </c>
      <c r="E27" t="s">
        <v>24</v>
      </c>
      <c r="F27">
        <f>IF(Pension!E11="","",Pension!E11)</f>
        <v>7</v>
      </c>
    </row>
    <row r="28" spans="1:6" x14ac:dyDescent="0.25">
      <c r="A28" t="s">
        <v>233</v>
      </c>
      <c r="B28" t="s">
        <v>228</v>
      </c>
      <c r="C28" t="s">
        <v>229</v>
      </c>
      <c r="D28" t="s">
        <v>236</v>
      </c>
      <c r="E28" t="s">
        <v>25</v>
      </c>
      <c r="F28">
        <f>IF(Pension!F11="","",Pension!F11)</f>
        <v>3.4</v>
      </c>
    </row>
    <row r="29" spans="1:6" x14ac:dyDescent="0.25">
      <c r="A29" t="s">
        <v>233</v>
      </c>
      <c r="B29" t="s">
        <v>228</v>
      </c>
      <c r="C29" t="s">
        <v>229</v>
      </c>
      <c r="D29" t="s">
        <v>236</v>
      </c>
      <c r="E29" t="s">
        <v>26</v>
      </c>
      <c r="F29">
        <f>IF(Pension!G11="","",Pension!G11)</f>
        <v>7</v>
      </c>
    </row>
    <row r="30" spans="1:6" x14ac:dyDescent="0.25">
      <c r="A30" t="s">
        <v>233</v>
      </c>
      <c r="B30" t="s">
        <v>228</v>
      </c>
      <c r="C30" t="s">
        <v>229</v>
      </c>
      <c r="D30" t="s">
        <v>236</v>
      </c>
      <c r="E30" t="s">
        <v>27</v>
      </c>
      <c r="F30">
        <f>IF(Pension!H11="","",Pension!H11)</f>
        <v>7</v>
      </c>
    </row>
    <row r="31" spans="1:6" x14ac:dyDescent="0.25">
      <c r="A31" t="s">
        <v>233</v>
      </c>
      <c r="B31" t="s">
        <v>228</v>
      </c>
      <c r="C31" t="s">
        <v>229</v>
      </c>
      <c r="D31" t="s">
        <v>236</v>
      </c>
      <c r="E31" t="s">
        <v>28</v>
      </c>
      <c r="F31">
        <f>IF(Pension!I11="","",Pension!I11)</f>
        <v>7</v>
      </c>
    </row>
    <row r="32" spans="1:6" x14ac:dyDescent="0.25">
      <c r="A32" t="s">
        <v>233</v>
      </c>
      <c r="B32" t="s">
        <v>228</v>
      </c>
      <c r="C32" t="s">
        <v>229</v>
      </c>
      <c r="D32" t="s">
        <v>236</v>
      </c>
      <c r="E32" t="s">
        <v>29</v>
      </c>
      <c r="F32">
        <f>IF(Pension!J11="","",Pension!J11)</f>
        <v>7</v>
      </c>
    </row>
    <row r="33" spans="1:6" x14ac:dyDescent="0.25">
      <c r="A33" t="s">
        <v>233</v>
      </c>
      <c r="B33" t="s">
        <v>228</v>
      </c>
      <c r="C33" t="s">
        <v>237</v>
      </c>
      <c r="D33" t="s">
        <v>234</v>
      </c>
      <c r="E33" t="s">
        <v>22</v>
      </c>
      <c r="F33">
        <f>IF(Pension!C12="","",Pension!C12)</f>
        <v>-0.1</v>
      </c>
    </row>
    <row r="34" spans="1:6" x14ac:dyDescent="0.25">
      <c r="A34" t="s">
        <v>233</v>
      </c>
      <c r="B34" t="s">
        <v>228</v>
      </c>
      <c r="C34" t="s">
        <v>237</v>
      </c>
      <c r="D34" t="s">
        <v>234</v>
      </c>
      <c r="E34" t="s">
        <v>23</v>
      </c>
      <c r="F34">
        <f>IF(Pension!D12="","",Pension!D12)</f>
        <v>9.5</v>
      </c>
    </row>
    <row r="35" spans="1:6" x14ac:dyDescent="0.25">
      <c r="A35" t="s">
        <v>233</v>
      </c>
      <c r="B35" t="s">
        <v>228</v>
      </c>
      <c r="C35" t="s">
        <v>237</v>
      </c>
      <c r="D35" t="s">
        <v>234</v>
      </c>
      <c r="E35" t="s">
        <v>24</v>
      </c>
      <c r="F35">
        <f>IF(Pension!E12="","",Pension!E12)</f>
        <v>17.5</v>
      </c>
    </row>
    <row r="36" spans="1:6" x14ac:dyDescent="0.25">
      <c r="A36" t="s">
        <v>233</v>
      </c>
      <c r="B36" t="s">
        <v>228</v>
      </c>
      <c r="C36" t="s">
        <v>237</v>
      </c>
      <c r="D36" t="s">
        <v>234</v>
      </c>
      <c r="E36" t="s">
        <v>25</v>
      </c>
      <c r="F36">
        <f>IF(Pension!F12="","",Pension!F12)</f>
        <v>8.1</v>
      </c>
    </row>
    <row r="37" spans="1:6" x14ac:dyDescent="0.25">
      <c r="A37" t="s">
        <v>233</v>
      </c>
      <c r="B37" t="s">
        <v>228</v>
      </c>
      <c r="C37" t="s">
        <v>237</v>
      </c>
      <c r="D37" t="s">
        <v>234</v>
      </c>
      <c r="E37" t="s">
        <v>26</v>
      </c>
      <c r="F37">
        <f>IF(Pension!G12="","",Pension!G12)</f>
        <v>17.5</v>
      </c>
    </row>
    <row r="38" spans="1:6" x14ac:dyDescent="0.25">
      <c r="A38" t="s">
        <v>233</v>
      </c>
      <c r="B38" t="s">
        <v>228</v>
      </c>
      <c r="C38" t="s">
        <v>237</v>
      </c>
      <c r="D38" t="s">
        <v>234</v>
      </c>
      <c r="E38" t="s">
        <v>27</v>
      </c>
      <c r="F38">
        <f>IF(Pension!H12="","",Pension!H12)</f>
        <v>13.9</v>
      </c>
    </row>
    <row r="39" spans="1:6" x14ac:dyDescent="0.25">
      <c r="A39" t="s">
        <v>233</v>
      </c>
      <c r="B39" t="s">
        <v>228</v>
      </c>
      <c r="C39" t="s">
        <v>237</v>
      </c>
      <c r="D39" t="s">
        <v>234</v>
      </c>
      <c r="E39" t="s">
        <v>28</v>
      </c>
      <c r="F39">
        <f>IF(Pension!I12="","",Pension!I12)</f>
        <v>9.8000000000000007</v>
      </c>
    </row>
    <row r="40" spans="1:6" x14ac:dyDescent="0.25">
      <c r="A40" t="s">
        <v>233</v>
      </c>
      <c r="B40" t="s">
        <v>228</v>
      </c>
      <c r="C40" t="s">
        <v>237</v>
      </c>
      <c r="D40" t="s">
        <v>234</v>
      </c>
      <c r="E40" t="s">
        <v>29</v>
      </c>
      <c r="F40" t="str">
        <f>IF(Pension!J12="","",Pension!J12)</f>
        <v/>
      </c>
    </row>
    <row r="41" spans="1:6" x14ac:dyDescent="0.25">
      <c r="A41" t="s">
        <v>233</v>
      </c>
      <c r="B41" t="s">
        <v>228</v>
      </c>
      <c r="C41" t="s">
        <v>237</v>
      </c>
      <c r="D41" t="s">
        <v>235</v>
      </c>
      <c r="E41" t="s">
        <v>22</v>
      </c>
      <c r="F41">
        <f>IF(Pension!C13="","",Pension!C13)</f>
        <v>-2.9</v>
      </c>
    </row>
    <row r="42" spans="1:6" x14ac:dyDescent="0.25">
      <c r="A42" t="s">
        <v>233</v>
      </c>
      <c r="B42" t="s">
        <v>228</v>
      </c>
      <c r="C42" t="s">
        <v>237</v>
      </c>
      <c r="D42" t="s">
        <v>235</v>
      </c>
      <c r="E42" t="s">
        <v>23</v>
      </c>
      <c r="F42">
        <f>IF(Pension!D13="","",Pension!D13)</f>
        <v>8.1</v>
      </c>
    </row>
    <row r="43" spans="1:6" x14ac:dyDescent="0.25">
      <c r="A43" t="s">
        <v>233</v>
      </c>
      <c r="B43" t="s">
        <v>228</v>
      </c>
      <c r="C43" t="s">
        <v>237</v>
      </c>
      <c r="D43" t="s">
        <v>235</v>
      </c>
      <c r="E43" t="s">
        <v>24</v>
      </c>
      <c r="F43">
        <f>IF(Pension!E13="","",Pension!E13)</f>
        <v>23.3</v>
      </c>
    </row>
    <row r="44" spans="1:6" x14ac:dyDescent="0.25">
      <c r="A44" t="s">
        <v>233</v>
      </c>
      <c r="B44" t="s">
        <v>228</v>
      </c>
      <c r="C44" t="s">
        <v>237</v>
      </c>
      <c r="D44" t="s">
        <v>235</v>
      </c>
      <c r="E44" t="s">
        <v>25</v>
      </c>
      <c r="F44">
        <f>IF(Pension!F13="","",Pension!F13)</f>
        <v>7.8</v>
      </c>
    </row>
    <row r="45" spans="1:6" x14ac:dyDescent="0.25">
      <c r="A45" t="s">
        <v>233</v>
      </c>
      <c r="B45" t="s">
        <v>228</v>
      </c>
      <c r="C45" t="s">
        <v>237</v>
      </c>
      <c r="D45" t="s">
        <v>235</v>
      </c>
      <c r="E45" t="s">
        <v>26</v>
      </c>
      <c r="F45">
        <f>IF(Pension!G13="","",Pension!G13)</f>
        <v>23.3</v>
      </c>
    </row>
    <row r="46" spans="1:6" x14ac:dyDescent="0.25">
      <c r="A46" t="s">
        <v>233</v>
      </c>
      <c r="B46" t="s">
        <v>228</v>
      </c>
      <c r="C46" t="s">
        <v>237</v>
      </c>
      <c r="D46" t="s">
        <v>235</v>
      </c>
      <c r="E46" t="s">
        <v>27</v>
      </c>
      <c r="F46">
        <f>IF(Pension!H13="","",Pension!H13)</f>
        <v>18.100000000000001</v>
      </c>
    </row>
    <row r="47" spans="1:6" x14ac:dyDescent="0.25">
      <c r="A47" t="s">
        <v>233</v>
      </c>
      <c r="B47" t="s">
        <v>228</v>
      </c>
      <c r="C47" t="s">
        <v>237</v>
      </c>
      <c r="D47" t="s">
        <v>235</v>
      </c>
      <c r="E47" t="s">
        <v>28</v>
      </c>
      <c r="F47">
        <f>IF(Pension!I13="","",Pension!I13)</f>
        <v>10.4</v>
      </c>
    </row>
    <row r="48" spans="1:6" x14ac:dyDescent="0.25">
      <c r="A48" t="s">
        <v>233</v>
      </c>
      <c r="B48" t="s">
        <v>228</v>
      </c>
      <c r="C48" t="s">
        <v>237</v>
      </c>
      <c r="D48" t="s">
        <v>235</v>
      </c>
      <c r="E48" t="s">
        <v>29</v>
      </c>
      <c r="F48" t="str">
        <f>IF(Pension!J13="","",Pension!J13)</f>
        <v/>
      </c>
    </row>
    <row r="49" spans="1:6" x14ac:dyDescent="0.25">
      <c r="A49" t="s">
        <v>233</v>
      </c>
      <c r="B49" t="s">
        <v>228</v>
      </c>
      <c r="C49" t="s">
        <v>238</v>
      </c>
      <c r="D49" t="s">
        <v>234</v>
      </c>
      <c r="E49" t="s">
        <v>22</v>
      </c>
      <c r="F49">
        <f>IF(Pension!C14="","",Pension!C14)</f>
        <v>0.9</v>
      </c>
    </row>
    <row r="50" spans="1:6" x14ac:dyDescent="0.25">
      <c r="A50" t="s">
        <v>233</v>
      </c>
      <c r="B50" t="s">
        <v>228</v>
      </c>
      <c r="C50" t="s">
        <v>238</v>
      </c>
      <c r="D50" t="s">
        <v>234</v>
      </c>
      <c r="E50" t="s">
        <v>23</v>
      </c>
      <c r="F50">
        <f>IF(Pension!D14="","",Pension!D14)</f>
        <v>3.5</v>
      </c>
    </row>
    <row r="51" spans="1:6" x14ac:dyDescent="0.25">
      <c r="A51" t="s">
        <v>233</v>
      </c>
      <c r="B51" t="s">
        <v>228</v>
      </c>
      <c r="C51" t="s">
        <v>238</v>
      </c>
      <c r="D51" t="s">
        <v>234</v>
      </c>
      <c r="E51" t="s">
        <v>24</v>
      </c>
      <c r="F51">
        <f>IF(Pension!E14="","",Pension!E14)</f>
        <v>6.7</v>
      </c>
    </row>
    <row r="52" spans="1:6" x14ac:dyDescent="0.25">
      <c r="A52" t="s">
        <v>233</v>
      </c>
      <c r="B52" t="s">
        <v>228</v>
      </c>
      <c r="C52" t="s">
        <v>238</v>
      </c>
      <c r="D52" t="s">
        <v>234</v>
      </c>
      <c r="E52" t="s">
        <v>25</v>
      </c>
      <c r="F52">
        <f>IF(Pension!F14="","",Pension!F14)</f>
        <v>5.6</v>
      </c>
    </row>
    <row r="53" spans="1:6" x14ac:dyDescent="0.25">
      <c r="A53" t="s">
        <v>233</v>
      </c>
      <c r="B53" t="s">
        <v>228</v>
      </c>
      <c r="C53" t="s">
        <v>238</v>
      </c>
      <c r="D53" t="s">
        <v>234</v>
      </c>
      <c r="E53" t="s">
        <v>26</v>
      </c>
      <c r="F53">
        <f>IF(Pension!G14="","",Pension!G14)</f>
        <v>6.7</v>
      </c>
    </row>
    <row r="54" spans="1:6" x14ac:dyDescent="0.25">
      <c r="A54" t="s">
        <v>233</v>
      </c>
      <c r="B54" t="s">
        <v>228</v>
      </c>
      <c r="C54" t="s">
        <v>238</v>
      </c>
      <c r="D54" t="s">
        <v>234</v>
      </c>
      <c r="E54" t="s">
        <v>27</v>
      </c>
      <c r="F54">
        <f>IF(Pension!H14="","",Pension!H14)</f>
        <v>12.8</v>
      </c>
    </row>
    <row r="55" spans="1:6" x14ac:dyDescent="0.25">
      <c r="A55" t="s">
        <v>233</v>
      </c>
      <c r="B55" t="s">
        <v>228</v>
      </c>
      <c r="C55" t="s">
        <v>238</v>
      </c>
      <c r="D55" t="s">
        <v>234</v>
      </c>
      <c r="E55" t="s">
        <v>28</v>
      </c>
      <c r="F55">
        <f>IF(Pension!I14="","",Pension!I14)</f>
        <v>8.1999999999999993</v>
      </c>
    </row>
    <row r="56" spans="1:6" x14ac:dyDescent="0.25">
      <c r="A56" t="s">
        <v>233</v>
      </c>
      <c r="B56" t="s">
        <v>228</v>
      </c>
      <c r="C56" t="s">
        <v>238</v>
      </c>
      <c r="D56" t="s">
        <v>234</v>
      </c>
      <c r="E56" t="s">
        <v>29</v>
      </c>
      <c r="F56" t="str">
        <f>IF(Pension!J14="","",Pension!J14)</f>
        <v/>
      </c>
    </row>
    <row r="57" spans="1:6" x14ac:dyDescent="0.25">
      <c r="A57" t="s">
        <v>233</v>
      </c>
      <c r="B57" t="s">
        <v>228</v>
      </c>
      <c r="C57" t="s">
        <v>238</v>
      </c>
      <c r="D57" t="s">
        <v>235</v>
      </c>
      <c r="E57" t="s">
        <v>22</v>
      </c>
      <c r="F57">
        <f>IF(Pension!C15="","",Pension!C15)</f>
        <v>0.6</v>
      </c>
    </row>
    <row r="58" spans="1:6" x14ac:dyDescent="0.25">
      <c r="A58" t="s">
        <v>233</v>
      </c>
      <c r="B58" t="s">
        <v>228</v>
      </c>
      <c r="C58" t="s">
        <v>238</v>
      </c>
      <c r="D58" t="s">
        <v>235</v>
      </c>
      <c r="E58" t="s">
        <v>23</v>
      </c>
      <c r="F58">
        <f>IF(Pension!D15="","",Pension!D15)</f>
        <v>2.2000000000000002</v>
      </c>
    </row>
    <row r="59" spans="1:6" x14ac:dyDescent="0.25">
      <c r="A59" t="s">
        <v>233</v>
      </c>
      <c r="B59" t="s">
        <v>228</v>
      </c>
      <c r="C59" t="s">
        <v>238</v>
      </c>
      <c r="D59" t="s">
        <v>235</v>
      </c>
      <c r="E59" t="s">
        <v>24</v>
      </c>
      <c r="F59">
        <f>IF(Pension!E15="","",Pension!E15)</f>
        <v>6.8</v>
      </c>
    </row>
    <row r="60" spans="1:6" x14ac:dyDescent="0.25">
      <c r="A60" t="s">
        <v>233</v>
      </c>
      <c r="B60" t="s">
        <v>228</v>
      </c>
      <c r="C60" t="s">
        <v>238</v>
      </c>
      <c r="D60" t="s">
        <v>235</v>
      </c>
      <c r="E60" t="s">
        <v>25</v>
      </c>
      <c r="F60">
        <f>IF(Pension!F15="","",Pension!F15)</f>
        <v>2.5</v>
      </c>
    </row>
    <row r="61" spans="1:6" x14ac:dyDescent="0.25">
      <c r="A61" t="s">
        <v>233</v>
      </c>
      <c r="B61" t="s">
        <v>228</v>
      </c>
      <c r="C61" t="s">
        <v>238</v>
      </c>
      <c r="D61" t="s">
        <v>235</v>
      </c>
      <c r="E61" t="s">
        <v>26</v>
      </c>
      <c r="F61">
        <f>IF(Pension!G15="","",Pension!G15)</f>
        <v>6.8</v>
      </c>
    </row>
    <row r="62" spans="1:6" x14ac:dyDescent="0.25">
      <c r="A62" t="s">
        <v>233</v>
      </c>
      <c r="B62" t="s">
        <v>228</v>
      </c>
      <c r="C62" t="s">
        <v>238</v>
      </c>
      <c r="D62" t="s">
        <v>235</v>
      </c>
      <c r="E62" t="s">
        <v>27</v>
      </c>
      <c r="F62">
        <f>IF(Pension!H15="","",Pension!H15)</f>
        <v>9.1999999999999993</v>
      </c>
    </row>
    <row r="63" spans="1:6" x14ac:dyDescent="0.25">
      <c r="A63" t="s">
        <v>233</v>
      </c>
      <c r="B63" t="s">
        <v>228</v>
      </c>
      <c r="C63" t="s">
        <v>238</v>
      </c>
      <c r="D63" t="s">
        <v>235</v>
      </c>
      <c r="E63" t="s">
        <v>28</v>
      </c>
      <c r="F63">
        <f>IF(Pension!I15="","",Pension!I15)</f>
        <v>5</v>
      </c>
    </row>
    <row r="64" spans="1:6" x14ac:dyDescent="0.25">
      <c r="A64" t="s">
        <v>233</v>
      </c>
      <c r="B64" t="s">
        <v>228</v>
      </c>
      <c r="C64" t="s">
        <v>238</v>
      </c>
      <c r="D64" t="s">
        <v>235</v>
      </c>
      <c r="E64" t="s">
        <v>29</v>
      </c>
      <c r="F64" t="str">
        <f>IF(Pension!J15="","",Pension!J15)</f>
        <v/>
      </c>
    </row>
    <row r="65" spans="1:6" x14ac:dyDescent="0.25">
      <c r="A65" t="s">
        <v>233</v>
      </c>
      <c r="B65" t="s">
        <v>228</v>
      </c>
      <c r="C65" t="s">
        <v>239</v>
      </c>
      <c r="D65" t="s">
        <v>234</v>
      </c>
      <c r="E65" t="s">
        <v>22</v>
      </c>
      <c r="F65">
        <f>IF(Pension!C16="","",Pension!C16)</f>
        <v>-1.1000000000000001</v>
      </c>
    </row>
    <row r="66" spans="1:6" x14ac:dyDescent="0.25">
      <c r="A66" t="s">
        <v>233</v>
      </c>
      <c r="B66" t="s">
        <v>228</v>
      </c>
      <c r="C66" t="s">
        <v>239</v>
      </c>
      <c r="D66" t="s">
        <v>234</v>
      </c>
      <c r="E66" t="s">
        <v>23</v>
      </c>
      <c r="F66">
        <f>IF(Pension!D16="","",Pension!D16)</f>
        <v>-0.4</v>
      </c>
    </row>
    <row r="67" spans="1:6" x14ac:dyDescent="0.25">
      <c r="A67" t="s">
        <v>233</v>
      </c>
      <c r="B67" t="s">
        <v>228</v>
      </c>
      <c r="C67" t="s">
        <v>239</v>
      </c>
      <c r="D67" t="s">
        <v>234</v>
      </c>
      <c r="E67" t="s">
        <v>24</v>
      </c>
      <c r="F67">
        <f>IF(Pension!E16="","",Pension!E16)</f>
        <v>7.9</v>
      </c>
    </row>
    <row r="68" spans="1:6" x14ac:dyDescent="0.25">
      <c r="A68" t="s">
        <v>233</v>
      </c>
      <c r="B68" t="s">
        <v>228</v>
      </c>
      <c r="C68" t="s">
        <v>239</v>
      </c>
      <c r="D68" t="s">
        <v>234</v>
      </c>
      <c r="E68" t="s">
        <v>25</v>
      </c>
      <c r="F68">
        <f>IF(Pension!F16="","",Pension!F16)</f>
        <v>3.5</v>
      </c>
    </row>
    <row r="69" spans="1:6" x14ac:dyDescent="0.25">
      <c r="A69" t="s">
        <v>233</v>
      </c>
      <c r="B69" t="s">
        <v>228</v>
      </c>
      <c r="C69" t="s">
        <v>239</v>
      </c>
      <c r="D69" t="s">
        <v>234</v>
      </c>
      <c r="E69" t="s">
        <v>26</v>
      </c>
      <c r="F69">
        <f>IF(Pension!G16="","",Pension!G16)</f>
        <v>7.9</v>
      </c>
    </row>
    <row r="70" spans="1:6" x14ac:dyDescent="0.25">
      <c r="A70" t="s">
        <v>233</v>
      </c>
      <c r="B70" t="s">
        <v>228</v>
      </c>
      <c r="C70" t="s">
        <v>239</v>
      </c>
      <c r="D70" t="s">
        <v>234</v>
      </c>
      <c r="E70" t="s">
        <v>27</v>
      </c>
      <c r="F70">
        <f>IF(Pension!H16="","",Pension!H16)</f>
        <v>4.4000000000000004</v>
      </c>
    </row>
    <row r="71" spans="1:6" x14ac:dyDescent="0.25">
      <c r="A71" t="s">
        <v>233</v>
      </c>
      <c r="B71" t="s">
        <v>228</v>
      </c>
      <c r="C71" t="s">
        <v>239</v>
      </c>
      <c r="D71" t="s">
        <v>234</v>
      </c>
      <c r="E71" t="s">
        <v>28</v>
      </c>
      <c r="F71">
        <f>IF(Pension!I16="","",Pension!I16)</f>
        <v>5.4</v>
      </c>
    </row>
    <row r="72" spans="1:6" x14ac:dyDescent="0.25">
      <c r="A72" t="s">
        <v>233</v>
      </c>
      <c r="B72" t="s">
        <v>228</v>
      </c>
      <c r="C72" t="s">
        <v>239</v>
      </c>
      <c r="D72" t="s">
        <v>234</v>
      </c>
      <c r="E72" t="s">
        <v>29</v>
      </c>
      <c r="F72" t="str">
        <f>IF(Pension!J16="","",Pension!J16)</f>
        <v/>
      </c>
    </row>
    <row r="73" spans="1:6" x14ac:dyDescent="0.25">
      <c r="A73" t="s">
        <v>233</v>
      </c>
      <c r="B73" t="s">
        <v>228</v>
      </c>
      <c r="C73" t="s">
        <v>239</v>
      </c>
      <c r="D73" t="s">
        <v>235</v>
      </c>
      <c r="E73" t="s">
        <v>22</v>
      </c>
      <c r="F73">
        <f>IF(Pension!C17="","",Pension!C17)</f>
        <v>-1</v>
      </c>
    </row>
    <row r="74" spans="1:6" x14ac:dyDescent="0.25">
      <c r="A74" t="s">
        <v>233</v>
      </c>
      <c r="B74" t="s">
        <v>228</v>
      </c>
      <c r="C74" t="s">
        <v>239</v>
      </c>
      <c r="D74" t="s">
        <v>235</v>
      </c>
      <c r="E74" t="s">
        <v>23</v>
      </c>
      <c r="F74">
        <f>IF(Pension!D17="","",Pension!D17)</f>
        <v>6</v>
      </c>
    </row>
    <row r="75" spans="1:6" x14ac:dyDescent="0.25">
      <c r="A75" t="s">
        <v>233</v>
      </c>
      <c r="B75" t="s">
        <v>228</v>
      </c>
      <c r="C75" t="s">
        <v>239</v>
      </c>
      <c r="D75" t="s">
        <v>235</v>
      </c>
      <c r="E75" t="s">
        <v>24</v>
      </c>
      <c r="F75">
        <f>IF(Pension!E17="","",Pension!E17)</f>
        <v>11.8</v>
      </c>
    </row>
    <row r="76" spans="1:6" x14ac:dyDescent="0.25">
      <c r="A76" t="s">
        <v>233</v>
      </c>
      <c r="B76" t="s">
        <v>228</v>
      </c>
      <c r="C76" t="s">
        <v>239</v>
      </c>
      <c r="D76" t="s">
        <v>235</v>
      </c>
      <c r="E76" t="s">
        <v>25</v>
      </c>
      <c r="F76">
        <f>IF(Pension!F17="","",Pension!F17)</f>
        <v>7.4</v>
      </c>
    </row>
    <row r="77" spans="1:6" x14ac:dyDescent="0.25">
      <c r="A77" t="s">
        <v>233</v>
      </c>
      <c r="B77" t="s">
        <v>228</v>
      </c>
      <c r="C77" t="s">
        <v>239</v>
      </c>
      <c r="D77" t="s">
        <v>235</v>
      </c>
      <c r="E77" t="s">
        <v>26</v>
      </c>
      <c r="F77">
        <f>IF(Pension!G17="","",Pension!G17)</f>
        <v>11.8</v>
      </c>
    </row>
    <row r="78" spans="1:6" x14ac:dyDescent="0.25">
      <c r="A78" t="s">
        <v>233</v>
      </c>
      <c r="B78" t="s">
        <v>228</v>
      </c>
      <c r="C78" t="s">
        <v>239</v>
      </c>
      <c r="D78" t="s">
        <v>235</v>
      </c>
      <c r="E78" t="s">
        <v>27</v>
      </c>
      <c r="F78">
        <f>IF(Pension!H17="","",Pension!H17)</f>
        <v>5.3</v>
      </c>
    </row>
    <row r="79" spans="1:6" x14ac:dyDescent="0.25">
      <c r="A79" t="s">
        <v>233</v>
      </c>
      <c r="B79" t="s">
        <v>228</v>
      </c>
      <c r="C79" t="s">
        <v>239</v>
      </c>
      <c r="D79" t="s">
        <v>235</v>
      </c>
      <c r="E79" t="s">
        <v>28</v>
      </c>
      <c r="F79">
        <f>IF(Pension!I17="","",Pension!I17)</f>
        <v>5.5</v>
      </c>
    </row>
    <row r="80" spans="1:6" x14ac:dyDescent="0.25">
      <c r="A80" t="s">
        <v>233</v>
      </c>
      <c r="B80" t="s">
        <v>228</v>
      </c>
      <c r="C80" t="s">
        <v>239</v>
      </c>
      <c r="D80" t="s">
        <v>235</v>
      </c>
      <c r="E80" t="s">
        <v>29</v>
      </c>
      <c r="F80" t="str">
        <f>IF(Pension!J17="","",Pension!J17)</f>
        <v/>
      </c>
    </row>
    <row r="81" spans="1:6" x14ac:dyDescent="0.25">
      <c r="A81" t="s">
        <v>233</v>
      </c>
      <c r="B81" t="s">
        <v>228</v>
      </c>
      <c r="C81" t="s">
        <v>240</v>
      </c>
      <c r="D81" t="s">
        <v>234</v>
      </c>
      <c r="E81" t="s">
        <v>22</v>
      </c>
      <c r="F81">
        <f>IF(Pension!C18="","",Pension!C18)</f>
        <v>0.5</v>
      </c>
    </row>
    <row r="82" spans="1:6" x14ac:dyDescent="0.25">
      <c r="A82" t="s">
        <v>233</v>
      </c>
      <c r="B82" t="s">
        <v>228</v>
      </c>
      <c r="C82" t="s">
        <v>240</v>
      </c>
      <c r="D82" t="s">
        <v>234</v>
      </c>
      <c r="E82" t="s">
        <v>23</v>
      </c>
      <c r="F82">
        <f>IF(Pension!D18="","",Pension!D18)</f>
        <v>0.8</v>
      </c>
    </row>
    <row r="83" spans="1:6" x14ac:dyDescent="0.25">
      <c r="A83" t="s">
        <v>233</v>
      </c>
      <c r="B83" t="s">
        <v>228</v>
      </c>
      <c r="C83" t="s">
        <v>240</v>
      </c>
      <c r="D83" t="s">
        <v>234</v>
      </c>
      <c r="E83" t="s">
        <v>24</v>
      </c>
      <c r="F83">
        <f>IF(Pension!E18="","",Pension!E18)</f>
        <v>5.5</v>
      </c>
    </row>
    <row r="84" spans="1:6" x14ac:dyDescent="0.25">
      <c r="A84" t="s">
        <v>233</v>
      </c>
      <c r="B84" t="s">
        <v>228</v>
      </c>
      <c r="C84" t="s">
        <v>240</v>
      </c>
      <c r="D84" t="s">
        <v>234</v>
      </c>
      <c r="E84" t="s">
        <v>25</v>
      </c>
      <c r="F84">
        <f>IF(Pension!F18="","",Pension!F18)</f>
        <v>1.9</v>
      </c>
    </row>
    <row r="85" spans="1:6" x14ac:dyDescent="0.25">
      <c r="A85" t="s">
        <v>233</v>
      </c>
      <c r="B85" t="s">
        <v>228</v>
      </c>
      <c r="C85" t="s">
        <v>240</v>
      </c>
      <c r="D85" t="s">
        <v>234</v>
      </c>
      <c r="E85" t="s">
        <v>26</v>
      </c>
      <c r="F85">
        <f>IF(Pension!G18="","",Pension!G18)</f>
        <v>5.5</v>
      </c>
    </row>
    <row r="86" spans="1:6" x14ac:dyDescent="0.25">
      <c r="A86" t="s">
        <v>233</v>
      </c>
      <c r="B86" t="s">
        <v>228</v>
      </c>
      <c r="C86" t="s">
        <v>240</v>
      </c>
      <c r="D86" t="s">
        <v>234</v>
      </c>
      <c r="E86" t="s">
        <v>27</v>
      </c>
      <c r="F86">
        <f>IF(Pension!H18="","",Pension!H18)</f>
        <v>4.7</v>
      </c>
    </row>
    <row r="87" spans="1:6" x14ac:dyDescent="0.25">
      <c r="A87" t="s">
        <v>233</v>
      </c>
      <c r="B87" t="s">
        <v>228</v>
      </c>
      <c r="C87" t="s">
        <v>240</v>
      </c>
      <c r="D87" t="s">
        <v>234</v>
      </c>
      <c r="E87" t="s">
        <v>28</v>
      </c>
      <c r="F87">
        <f>IF(Pension!I18="","",Pension!I18)</f>
        <v>1.3</v>
      </c>
    </row>
    <row r="88" spans="1:6" x14ac:dyDescent="0.25">
      <c r="A88" t="s">
        <v>233</v>
      </c>
      <c r="B88" t="s">
        <v>228</v>
      </c>
      <c r="C88" t="s">
        <v>240</v>
      </c>
      <c r="D88" t="s">
        <v>234</v>
      </c>
      <c r="E88" t="s">
        <v>29</v>
      </c>
      <c r="F88" t="str">
        <f>IF(Pension!J18="","",Pension!J18)</f>
        <v/>
      </c>
    </row>
    <row r="89" spans="1:6" x14ac:dyDescent="0.25">
      <c r="A89" t="s">
        <v>233</v>
      </c>
      <c r="B89" t="s">
        <v>228</v>
      </c>
      <c r="C89" t="s">
        <v>240</v>
      </c>
      <c r="D89" t="s">
        <v>235</v>
      </c>
      <c r="E89" t="s">
        <v>22</v>
      </c>
      <c r="F89">
        <f>IF(Pension!C19="","",Pension!C19)</f>
        <v>0.4</v>
      </c>
    </row>
    <row r="90" spans="1:6" x14ac:dyDescent="0.25">
      <c r="A90" t="s">
        <v>233</v>
      </c>
      <c r="B90" t="s">
        <v>228</v>
      </c>
      <c r="C90" t="s">
        <v>240</v>
      </c>
      <c r="D90" t="s">
        <v>235</v>
      </c>
      <c r="E90" t="s">
        <v>23</v>
      </c>
      <c r="F90">
        <f>IF(Pension!D19="","",Pension!D19)</f>
        <v>1</v>
      </c>
    </row>
    <row r="91" spans="1:6" x14ac:dyDescent="0.25">
      <c r="A91" t="s">
        <v>233</v>
      </c>
      <c r="B91" t="s">
        <v>228</v>
      </c>
      <c r="C91" t="s">
        <v>240</v>
      </c>
      <c r="D91" t="s">
        <v>235</v>
      </c>
      <c r="E91" t="s">
        <v>24</v>
      </c>
      <c r="F91">
        <f>IF(Pension!E19="","",Pension!E19)</f>
        <v>4.5</v>
      </c>
    </row>
    <row r="92" spans="1:6" x14ac:dyDescent="0.25">
      <c r="A92" t="s">
        <v>233</v>
      </c>
      <c r="B92" t="s">
        <v>228</v>
      </c>
      <c r="C92" t="s">
        <v>240</v>
      </c>
      <c r="D92" t="s">
        <v>235</v>
      </c>
      <c r="E92" t="s">
        <v>25</v>
      </c>
      <c r="F92">
        <f>IF(Pension!F19="","",Pension!F19)</f>
        <v>1.4</v>
      </c>
    </row>
    <row r="93" spans="1:6" x14ac:dyDescent="0.25">
      <c r="A93" t="s">
        <v>233</v>
      </c>
      <c r="B93" t="s">
        <v>228</v>
      </c>
      <c r="C93" t="s">
        <v>240</v>
      </c>
      <c r="D93" t="s">
        <v>235</v>
      </c>
      <c r="E93" t="s">
        <v>26</v>
      </c>
      <c r="F93">
        <f>IF(Pension!G19="","",Pension!G19)</f>
        <v>4.5</v>
      </c>
    </row>
    <row r="94" spans="1:6" x14ac:dyDescent="0.25">
      <c r="A94" t="s">
        <v>233</v>
      </c>
      <c r="B94" t="s">
        <v>228</v>
      </c>
      <c r="C94" t="s">
        <v>240</v>
      </c>
      <c r="D94" t="s">
        <v>235</v>
      </c>
      <c r="E94" t="s">
        <v>27</v>
      </c>
      <c r="F94">
        <f>IF(Pension!H19="","",Pension!H19)</f>
        <v>4.3</v>
      </c>
    </row>
    <row r="95" spans="1:6" x14ac:dyDescent="0.25">
      <c r="A95" t="s">
        <v>233</v>
      </c>
      <c r="B95" t="s">
        <v>228</v>
      </c>
      <c r="C95" t="s">
        <v>240</v>
      </c>
      <c r="D95" t="s">
        <v>235</v>
      </c>
      <c r="E95" t="s">
        <v>28</v>
      </c>
      <c r="F95">
        <f>IF(Pension!I19="","",Pension!I19)</f>
        <v>0.9</v>
      </c>
    </row>
    <row r="96" spans="1:6" x14ac:dyDescent="0.25">
      <c r="A96" t="s">
        <v>233</v>
      </c>
      <c r="B96" t="s">
        <v>228</v>
      </c>
      <c r="C96" t="s">
        <v>240</v>
      </c>
      <c r="D96" t="s">
        <v>235</v>
      </c>
      <c r="E96" t="s">
        <v>29</v>
      </c>
      <c r="F96" t="str">
        <f>IF(Pension!J19="","",Pension!J19)</f>
        <v/>
      </c>
    </row>
    <row r="97" spans="1:6" x14ac:dyDescent="0.25">
      <c r="A97" t="s">
        <v>241</v>
      </c>
      <c r="B97" t="s">
        <v>228</v>
      </c>
      <c r="C97" t="s">
        <v>237</v>
      </c>
      <c r="D97" t="s">
        <v>230</v>
      </c>
      <c r="F97">
        <f>IF(Pension!C22="","",Pension!C22)</f>
        <v>45687</v>
      </c>
    </row>
    <row r="98" spans="1:6" x14ac:dyDescent="0.25">
      <c r="A98" t="s">
        <v>241</v>
      </c>
      <c r="B98" t="s">
        <v>228</v>
      </c>
      <c r="C98" t="s">
        <v>237</v>
      </c>
      <c r="D98" t="s">
        <v>242</v>
      </c>
      <c r="F98">
        <f>IF(Pension!D22="","",Pension!D22)</f>
        <v>48.6</v>
      </c>
    </row>
    <row r="99" spans="1:6" x14ac:dyDescent="0.25">
      <c r="A99" t="s">
        <v>241</v>
      </c>
      <c r="B99" t="s">
        <v>228</v>
      </c>
      <c r="C99" t="s">
        <v>237</v>
      </c>
      <c r="D99" t="s">
        <v>243</v>
      </c>
      <c r="F99">
        <f>IF(Pension!E22="","",Pension!E22)</f>
        <v>48</v>
      </c>
    </row>
    <row r="100" spans="1:6" x14ac:dyDescent="0.25">
      <c r="A100" t="s">
        <v>241</v>
      </c>
      <c r="B100" t="s">
        <v>228</v>
      </c>
      <c r="C100" t="s">
        <v>237</v>
      </c>
      <c r="D100" t="s">
        <v>244</v>
      </c>
      <c r="F100">
        <f>IF(Pension!F22="","",Pension!F22)</f>
        <v>41</v>
      </c>
    </row>
    <row r="101" spans="1:6" x14ac:dyDescent="0.25">
      <c r="A101" t="s">
        <v>241</v>
      </c>
      <c r="B101" t="s">
        <v>228</v>
      </c>
      <c r="C101" t="s">
        <v>238</v>
      </c>
      <c r="D101" t="s">
        <v>230</v>
      </c>
      <c r="F101">
        <f>IF(Pension!C23="","",Pension!C23)</f>
        <v>11749</v>
      </c>
    </row>
    <row r="102" spans="1:6" x14ac:dyDescent="0.25">
      <c r="A102" t="s">
        <v>241</v>
      </c>
      <c r="B102" t="s">
        <v>228</v>
      </c>
      <c r="C102" t="s">
        <v>238</v>
      </c>
      <c r="D102" t="s">
        <v>242</v>
      </c>
      <c r="F102">
        <f>IF(Pension!D23="","",Pension!D23)</f>
        <v>12.5</v>
      </c>
    </row>
    <row r="103" spans="1:6" x14ac:dyDescent="0.25">
      <c r="A103" t="s">
        <v>241</v>
      </c>
      <c r="B103" t="s">
        <v>228</v>
      </c>
      <c r="C103" t="s">
        <v>238</v>
      </c>
      <c r="D103" t="s">
        <v>243</v>
      </c>
      <c r="F103">
        <f>IF(Pension!E23="","",Pension!E23)</f>
        <v>13</v>
      </c>
    </row>
    <row r="104" spans="1:6" x14ac:dyDescent="0.25">
      <c r="A104" t="s">
        <v>241</v>
      </c>
      <c r="B104" t="s">
        <v>228</v>
      </c>
      <c r="C104" t="s">
        <v>238</v>
      </c>
      <c r="D104" t="s">
        <v>244</v>
      </c>
      <c r="F104">
        <f>IF(Pension!F23="","",Pension!F23)</f>
        <v>-79</v>
      </c>
    </row>
    <row r="105" spans="1:6" x14ac:dyDescent="0.25">
      <c r="A105" t="s">
        <v>241</v>
      </c>
      <c r="B105" t="s">
        <v>228</v>
      </c>
      <c r="C105" t="s">
        <v>239</v>
      </c>
      <c r="D105" t="s">
        <v>230</v>
      </c>
      <c r="F105">
        <f>IF(Pension!C24="","",Pension!C24)</f>
        <v>13501</v>
      </c>
    </row>
    <row r="106" spans="1:6" x14ac:dyDescent="0.25">
      <c r="A106" t="s">
        <v>241</v>
      </c>
      <c r="B106" t="s">
        <v>228</v>
      </c>
      <c r="C106" t="s">
        <v>239</v>
      </c>
      <c r="D106" t="s">
        <v>242</v>
      </c>
      <c r="F106">
        <f>IF(Pension!D24="","",Pension!D24)</f>
        <v>14.4</v>
      </c>
    </row>
    <row r="107" spans="1:6" x14ac:dyDescent="0.25">
      <c r="A107" t="s">
        <v>241</v>
      </c>
      <c r="B107" t="s">
        <v>228</v>
      </c>
      <c r="C107" t="s">
        <v>239</v>
      </c>
      <c r="D107" t="s">
        <v>243</v>
      </c>
      <c r="F107">
        <f>IF(Pension!E24="","",Pension!E24)</f>
        <v>15</v>
      </c>
    </row>
    <row r="108" spans="1:6" x14ac:dyDescent="0.25">
      <c r="A108" t="s">
        <v>241</v>
      </c>
      <c r="B108" t="s">
        <v>228</v>
      </c>
      <c r="C108" t="s">
        <v>239</v>
      </c>
      <c r="D108" t="s">
        <v>244</v>
      </c>
      <c r="F108">
        <f>IF(Pension!F24="","",Pension!F24)</f>
        <v>-4</v>
      </c>
    </row>
    <row r="109" spans="1:6" x14ac:dyDescent="0.25">
      <c r="A109" t="s">
        <v>241</v>
      </c>
      <c r="B109" t="s">
        <v>228</v>
      </c>
      <c r="C109" t="s">
        <v>240</v>
      </c>
      <c r="D109" t="s">
        <v>230</v>
      </c>
      <c r="F109">
        <f>IF(Pension!C25="","",Pension!C25)</f>
        <v>22354</v>
      </c>
    </row>
    <row r="110" spans="1:6" x14ac:dyDescent="0.25">
      <c r="A110" t="s">
        <v>241</v>
      </c>
      <c r="B110" t="s">
        <v>228</v>
      </c>
      <c r="C110" t="s">
        <v>240</v>
      </c>
      <c r="D110" t="s">
        <v>242</v>
      </c>
      <c r="F110">
        <f>IF(Pension!D25="","",Pension!D25)</f>
        <v>23.8</v>
      </c>
    </row>
    <row r="111" spans="1:6" x14ac:dyDescent="0.25">
      <c r="A111" t="s">
        <v>241</v>
      </c>
      <c r="B111" t="s">
        <v>228</v>
      </c>
      <c r="C111" t="s">
        <v>240</v>
      </c>
      <c r="D111" t="s">
        <v>243</v>
      </c>
      <c r="F111">
        <f>IF(Pension!E25="","",Pension!E25)</f>
        <v>24</v>
      </c>
    </row>
    <row r="112" spans="1:6" x14ac:dyDescent="0.25">
      <c r="A112" t="s">
        <v>241</v>
      </c>
      <c r="B112" t="s">
        <v>228</v>
      </c>
      <c r="C112" t="s">
        <v>240</v>
      </c>
      <c r="D112" t="s">
        <v>244</v>
      </c>
      <c r="F112">
        <f>IF(Pension!F25="","",Pension!F25)</f>
        <v>0</v>
      </c>
    </row>
    <row r="113" spans="1:7" x14ac:dyDescent="0.25">
      <c r="A113" t="s">
        <v>241</v>
      </c>
      <c r="B113" t="s">
        <v>228</v>
      </c>
      <c r="C113" t="s">
        <v>245</v>
      </c>
      <c r="D113" t="s">
        <v>246</v>
      </c>
      <c r="G113" t="str">
        <f>IF(Pension!B26="","",Pension!B26)</f>
        <v>Overlays &amp; Hedges + Other Asset</v>
      </c>
    </row>
    <row r="114" spans="1:7" x14ac:dyDescent="0.25">
      <c r="A114" t="s">
        <v>241</v>
      </c>
      <c r="B114" t="s">
        <v>228</v>
      </c>
      <c r="C114" t="s">
        <v>245</v>
      </c>
      <c r="D114" t="s">
        <v>230</v>
      </c>
      <c r="F114">
        <f>IF(Pension!C26="","",Pension!C26)</f>
        <v>624</v>
      </c>
    </row>
    <row r="115" spans="1:7" x14ac:dyDescent="0.25">
      <c r="A115" t="s">
        <v>241</v>
      </c>
      <c r="B115" t="s">
        <v>228</v>
      </c>
      <c r="C115" t="s">
        <v>245</v>
      </c>
      <c r="D115" t="s">
        <v>242</v>
      </c>
      <c r="F115">
        <f>IF(Pension!D26="","",Pension!D26)</f>
        <v>0.7</v>
      </c>
    </row>
    <row r="116" spans="1:7" x14ac:dyDescent="0.25">
      <c r="A116" t="s">
        <v>241</v>
      </c>
      <c r="B116" t="s">
        <v>228</v>
      </c>
      <c r="C116" t="s">
        <v>245</v>
      </c>
      <c r="D116" t="s">
        <v>244</v>
      </c>
      <c r="F116">
        <f>IF(Pension!F26="","",Pension!F26)</f>
        <v>-18</v>
      </c>
    </row>
    <row r="117" spans="1:7" x14ac:dyDescent="0.25">
      <c r="A117" t="s">
        <v>247</v>
      </c>
      <c r="B117" t="s">
        <v>228</v>
      </c>
      <c r="C117" t="str">
        <f>IF(Pension!B30="","",Pension!B30)</f>
        <v>Currency hedge</v>
      </c>
      <c r="D117" t="s">
        <v>248</v>
      </c>
      <c r="F117">
        <f>IF(OR(Pension!B30="",Pension!C30=""),"",Pension!C30)</f>
        <v>17.600000000000001</v>
      </c>
    </row>
    <row r="118" spans="1:7" x14ac:dyDescent="0.25">
      <c r="A118" t="s">
        <v>247</v>
      </c>
      <c r="B118" t="s">
        <v>228</v>
      </c>
      <c r="C118" t="str">
        <f>IF(Pension!B30="","",Pension!B30)</f>
        <v>Currency hedge</v>
      </c>
      <c r="D118" t="s">
        <v>249</v>
      </c>
      <c r="F118">
        <f>IF(OR(Pension!B30="",Pension!D30=""),"",Pension!D30)</f>
        <v>1563.7</v>
      </c>
    </row>
    <row r="119" spans="1:7" x14ac:dyDescent="0.25">
      <c r="A119" t="s">
        <v>247</v>
      </c>
      <c r="B119" t="s">
        <v>228</v>
      </c>
      <c r="C119" t="str">
        <f>IF(Pension!B31="","",Pension!B31)</f>
        <v>Cash / rebalance overlay</v>
      </c>
      <c r="D119" t="s">
        <v>248</v>
      </c>
      <c r="F119">
        <f>IF(OR(Pension!B31="",Pension!C31=""),"",Pension!C31)</f>
        <v>-6.4</v>
      </c>
    </row>
    <row r="120" spans="1:7" x14ac:dyDescent="0.25">
      <c r="A120" t="s">
        <v>247</v>
      </c>
      <c r="B120" t="s">
        <v>228</v>
      </c>
      <c r="C120" t="str">
        <f>IF(Pension!B31="","",Pension!B31)</f>
        <v>Cash / rebalance overlay</v>
      </c>
      <c r="D120" t="s">
        <v>249</v>
      </c>
      <c r="F120">
        <f>IF(OR(Pension!B31="",Pension!D31=""),"",Pension!D31)</f>
        <v>804.3</v>
      </c>
    </row>
    <row r="121" spans="1:7" x14ac:dyDescent="0.25">
      <c r="A121" t="s">
        <v>247</v>
      </c>
      <c r="B121" t="s">
        <v>228</v>
      </c>
      <c r="C121" t="str">
        <f>IF(Pension!B32="","",Pension!B32)</f>
        <v/>
      </c>
      <c r="D121" t="s">
        <v>248</v>
      </c>
      <c r="F121" t="str">
        <f>IF(OR(Pension!B32="",Pension!C32=""),"",Pension!C32)</f>
        <v/>
      </c>
    </row>
    <row r="122" spans="1:7" x14ac:dyDescent="0.25">
      <c r="A122" t="s">
        <v>247</v>
      </c>
      <c r="B122" t="s">
        <v>228</v>
      </c>
      <c r="C122" t="str">
        <f>IF(Pension!B32="","",Pension!B32)</f>
        <v/>
      </c>
      <c r="D122" t="s">
        <v>249</v>
      </c>
      <c r="F122" t="str">
        <f>IF(OR(Pension!B32="",Pension!D32=""),"",Pension!D32)</f>
        <v/>
      </c>
    </row>
    <row r="123" spans="1:7" x14ac:dyDescent="0.25">
      <c r="A123" t="s">
        <v>247</v>
      </c>
      <c r="B123" t="s">
        <v>228</v>
      </c>
      <c r="C123" t="str">
        <f>IF(Pension!B33="","",Pension!B33)</f>
        <v/>
      </c>
      <c r="D123" t="s">
        <v>248</v>
      </c>
      <c r="F123" t="str">
        <f>IF(OR(Pension!B33="",Pension!C33=""),"",Pension!C33)</f>
        <v/>
      </c>
    </row>
    <row r="124" spans="1:7" x14ac:dyDescent="0.25">
      <c r="A124" t="s">
        <v>247</v>
      </c>
      <c r="B124" t="s">
        <v>228</v>
      </c>
      <c r="C124" t="str">
        <f>IF(Pension!B33="","",Pension!B33)</f>
        <v/>
      </c>
      <c r="D124" t="s">
        <v>249</v>
      </c>
      <c r="F124" t="str">
        <f>IF(OR(Pension!B33="",Pension!D33=""),"",Pension!D33)</f>
        <v/>
      </c>
    </row>
    <row r="125" spans="1:7" x14ac:dyDescent="0.25">
      <c r="A125" t="s">
        <v>250</v>
      </c>
      <c r="B125" t="s">
        <v>228</v>
      </c>
      <c r="C125" t="s">
        <v>251</v>
      </c>
      <c r="D125" t="s">
        <v>252</v>
      </c>
      <c r="F125">
        <f>IF(Pension!C36="","",Pension!C36)</f>
        <v>1</v>
      </c>
    </row>
    <row r="126" spans="1:7" x14ac:dyDescent="0.25">
      <c r="A126" t="s">
        <v>250</v>
      </c>
      <c r="B126" t="s">
        <v>228</v>
      </c>
      <c r="C126" t="s">
        <v>253</v>
      </c>
      <c r="D126" t="s">
        <v>252</v>
      </c>
      <c r="F126">
        <f>IF(Pension!C37="","",Pension!C37)</f>
        <v>0</v>
      </c>
    </row>
    <row r="127" spans="1:7" x14ac:dyDescent="0.25">
      <c r="A127" t="s">
        <v>250</v>
      </c>
      <c r="B127" t="s">
        <v>228</v>
      </c>
      <c r="C127" t="s">
        <v>254</v>
      </c>
      <c r="D127" t="s">
        <v>252</v>
      </c>
      <c r="F127">
        <f>IF(Pension!C38="","",Pension!C38)</f>
        <v>1</v>
      </c>
    </row>
    <row r="128" spans="1:7" x14ac:dyDescent="0.25">
      <c r="A128" t="s">
        <v>250</v>
      </c>
      <c r="B128" t="s">
        <v>228</v>
      </c>
      <c r="C128" t="s">
        <v>255</v>
      </c>
      <c r="D128" t="s">
        <v>252</v>
      </c>
      <c r="F128">
        <f>IF(Pension!C39="","",Pension!C39)</f>
        <v>3</v>
      </c>
    </row>
    <row r="129" spans="1:6" x14ac:dyDescent="0.25">
      <c r="A129" t="s">
        <v>250</v>
      </c>
      <c r="B129" t="s">
        <v>228</v>
      </c>
      <c r="C129" t="s">
        <v>256</v>
      </c>
      <c r="D129" t="s">
        <v>252</v>
      </c>
      <c r="F129">
        <f>IF(Pension!C40="","",Pension!C40)</f>
        <v>6</v>
      </c>
    </row>
    <row r="130" spans="1:6" x14ac:dyDescent="0.25">
      <c r="A130" t="s">
        <v>250</v>
      </c>
      <c r="B130" t="s">
        <v>228</v>
      </c>
      <c r="C130" t="s">
        <v>257</v>
      </c>
      <c r="D130" t="s">
        <v>252</v>
      </c>
      <c r="F130">
        <f>IF(Pension!C41="","",Pension!C41)</f>
        <v>10</v>
      </c>
    </row>
    <row r="131" spans="1:6" x14ac:dyDescent="0.25">
      <c r="A131" t="s">
        <v>250</v>
      </c>
      <c r="B131" t="s">
        <v>228</v>
      </c>
      <c r="C131" t="s">
        <v>258</v>
      </c>
      <c r="D131" t="s">
        <v>252</v>
      </c>
      <c r="F131">
        <f>IF(Pension!C42="","",Pension!C42)</f>
        <v>11</v>
      </c>
    </row>
    <row r="132" spans="1:6" x14ac:dyDescent="0.25">
      <c r="A132" t="s">
        <v>250</v>
      </c>
      <c r="B132" t="s">
        <v>228</v>
      </c>
      <c r="C132" t="s">
        <v>259</v>
      </c>
      <c r="D132" t="s">
        <v>252</v>
      </c>
      <c r="F132">
        <f>IF(Pension!C43="","",Pension!C43)</f>
        <v>24</v>
      </c>
    </row>
    <row r="133" spans="1:6" x14ac:dyDescent="0.25">
      <c r="A133" t="s">
        <v>250</v>
      </c>
      <c r="B133" t="s">
        <v>228</v>
      </c>
      <c r="C133" t="s">
        <v>260</v>
      </c>
      <c r="D133" t="s">
        <v>252</v>
      </c>
      <c r="F133">
        <f>IF(Pension!C44="","",Pension!C44)</f>
        <v>37</v>
      </c>
    </row>
    <row r="134" spans="1:6" x14ac:dyDescent="0.25">
      <c r="A134" t="s">
        <v>250</v>
      </c>
      <c r="B134" t="s">
        <v>228</v>
      </c>
      <c r="C134" t="s">
        <v>261</v>
      </c>
      <c r="D134" t="s">
        <v>252</v>
      </c>
      <c r="F134">
        <f>IF(Pension!C45="","",Pension!C45)</f>
        <v>17</v>
      </c>
    </row>
    <row r="135" spans="1:6" x14ac:dyDescent="0.25">
      <c r="A135" t="s">
        <v>250</v>
      </c>
      <c r="B135" t="s">
        <v>228</v>
      </c>
      <c r="C135" t="s">
        <v>262</v>
      </c>
      <c r="D135" t="s">
        <v>252</v>
      </c>
      <c r="F135">
        <f>IF(Pension!C46="","",Pension!C46)</f>
        <v>6</v>
      </c>
    </row>
    <row r="136" spans="1:6" x14ac:dyDescent="0.25">
      <c r="A136" t="s">
        <v>250</v>
      </c>
      <c r="B136" t="s">
        <v>228</v>
      </c>
      <c r="C136" t="s">
        <v>263</v>
      </c>
      <c r="D136" t="s">
        <v>252</v>
      </c>
      <c r="F136">
        <f>IF(Pension!C47="","",Pension!C47)</f>
        <v>3</v>
      </c>
    </row>
    <row r="137" spans="1:6" x14ac:dyDescent="0.25">
      <c r="A137" t="s">
        <v>250</v>
      </c>
      <c r="B137" t="s">
        <v>228</v>
      </c>
      <c r="C137" t="s">
        <v>264</v>
      </c>
      <c r="D137" t="s">
        <v>252</v>
      </c>
      <c r="F137">
        <f>IF(Pension!C48="","",Pension!C48)</f>
        <v>0</v>
      </c>
    </row>
    <row r="138" spans="1:6" x14ac:dyDescent="0.25">
      <c r="A138" t="s">
        <v>250</v>
      </c>
      <c r="B138" t="s">
        <v>228</v>
      </c>
      <c r="C138" t="s">
        <v>265</v>
      </c>
      <c r="D138" t="s">
        <v>252</v>
      </c>
      <c r="F138">
        <f>IF(Pension!C49="","",Pension!C49)</f>
        <v>1</v>
      </c>
    </row>
    <row r="139" spans="1:6" x14ac:dyDescent="0.25">
      <c r="A139" t="s">
        <v>250</v>
      </c>
      <c r="B139" t="s">
        <v>228</v>
      </c>
      <c r="C139" t="s">
        <v>266</v>
      </c>
      <c r="D139" t="s">
        <v>267</v>
      </c>
      <c r="F139">
        <f>IF(Pension!C51="","",Pension!C51)</f>
        <v>0.75</v>
      </c>
    </row>
    <row r="140" spans="1:6" x14ac:dyDescent="0.25">
      <c r="A140" t="s">
        <v>250</v>
      </c>
      <c r="B140" t="s">
        <v>228</v>
      </c>
      <c r="C140" t="s">
        <v>266</v>
      </c>
      <c r="D140" t="s">
        <v>268</v>
      </c>
      <c r="F140">
        <f>IF(Pension!C52="","",Pension!C52)</f>
        <v>0.6</v>
      </c>
    </row>
    <row r="141" spans="1:6" x14ac:dyDescent="0.25">
      <c r="A141" t="s">
        <v>250</v>
      </c>
      <c r="B141" t="s">
        <v>228</v>
      </c>
      <c r="C141" t="s">
        <v>266</v>
      </c>
      <c r="D141" t="s">
        <v>269</v>
      </c>
      <c r="F141">
        <f>IF(Pension!C53="","",Pension!C53)</f>
        <v>1.94</v>
      </c>
    </row>
    <row r="142" spans="1:6" x14ac:dyDescent="0.25">
      <c r="A142" t="s">
        <v>250</v>
      </c>
      <c r="B142" t="s">
        <v>228</v>
      </c>
      <c r="C142" t="s">
        <v>266</v>
      </c>
      <c r="D142" t="s">
        <v>270</v>
      </c>
      <c r="F142">
        <f>IF(Pension!C54="","",Pension!C54)</f>
        <v>-6.9</v>
      </c>
    </row>
    <row r="143" spans="1:6" x14ac:dyDescent="0.25">
      <c r="A143" t="s">
        <v>250</v>
      </c>
      <c r="B143" t="s">
        <v>228</v>
      </c>
      <c r="C143" t="s">
        <v>266</v>
      </c>
      <c r="D143" t="s">
        <v>271</v>
      </c>
      <c r="F143">
        <f>IF(Pension!C55="","",Pension!C55)</f>
        <v>6.6</v>
      </c>
    </row>
    <row r="144" spans="1:6" x14ac:dyDescent="0.25">
      <c r="A144" t="s">
        <v>250</v>
      </c>
      <c r="B144" t="s">
        <v>228</v>
      </c>
      <c r="C144" t="s">
        <v>266</v>
      </c>
      <c r="D144" t="s">
        <v>272</v>
      </c>
      <c r="F144">
        <f>IF(Pension!C56="","",Pension!C56)</f>
        <v>0.1</v>
      </c>
    </row>
    <row r="145" spans="1:7" x14ac:dyDescent="0.25">
      <c r="A145" t="s">
        <v>273</v>
      </c>
      <c r="B145" t="s">
        <v>228</v>
      </c>
      <c r="C145" t="s">
        <v>274</v>
      </c>
      <c r="D145" t="s">
        <v>275</v>
      </c>
      <c r="F145">
        <f>IF(Pension!C59="","",Pension!C59)</f>
        <v>94</v>
      </c>
    </row>
    <row r="146" spans="1:7" x14ac:dyDescent="0.25">
      <c r="A146" t="s">
        <v>273</v>
      </c>
      <c r="B146" t="s">
        <v>228</v>
      </c>
      <c r="C146" t="s">
        <v>274</v>
      </c>
      <c r="D146" t="s">
        <v>276</v>
      </c>
      <c r="F146">
        <f>IF(Pension!D59="","",Pension!D59)</f>
        <v>26</v>
      </c>
    </row>
    <row r="147" spans="1:7" x14ac:dyDescent="0.25">
      <c r="A147" t="s">
        <v>273</v>
      </c>
      <c r="B147" t="s">
        <v>228</v>
      </c>
      <c r="C147" t="s">
        <v>277</v>
      </c>
      <c r="D147" t="s">
        <v>275</v>
      </c>
      <c r="F147">
        <f>IF(Pension!C60="","",Pension!C60)</f>
        <v>6</v>
      </c>
    </row>
    <row r="148" spans="1:7" x14ac:dyDescent="0.25">
      <c r="A148" t="s">
        <v>273</v>
      </c>
      <c r="B148" t="s">
        <v>228</v>
      </c>
      <c r="C148" t="s">
        <v>277</v>
      </c>
      <c r="D148" t="s">
        <v>276</v>
      </c>
      <c r="F148">
        <f>IF(Pension!D60="","",Pension!D60)</f>
        <v>53</v>
      </c>
    </row>
    <row r="149" spans="1:7" x14ac:dyDescent="0.25">
      <c r="A149" t="s">
        <v>273</v>
      </c>
      <c r="B149" t="s">
        <v>228</v>
      </c>
      <c r="C149" t="s">
        <v>229</v>
      </c>
      <c r="D149" t="s">
        <v>276</v>
      </c>
      <c r="F149">
        <f>IF(Pension!D61="","",Pension!D61)</f>
        <v>79</v>
      </c>
    </row>
    <row r="150" spans="1:7" x14ac:dyDescent="0.25">
      <c r="A150" t="s">
        <v>278</v>
      </c>
      <c r="B150" t="s">
        <v>228</v>
      </c>
      <c r="C150" t="str">
        <f>IF(Pension!B63="","",Pension!B63)</f>
        <v>United States</v>
      </c>
      <c r="D150" t="s">
        <v>275</v>
      </c>
      <c r="F150">
        <f>IF(OR(Pension!B63="",Pension!C63=""),"",Pension!C63)</f>
        <v>75.7</v>
      </c>
      <c r="G150" t="str">
        <f>IF(Pension!B63="","","dm")</f>
        <v>dm</v>
      </c>
    </row>
    <row r="151" spans="1:7" x14ac:dyDescent="0.25">
      <c r="A151" t="s">
        <v>278</v>
      </c>
      <c r="B151" t="s">
        <v>228</v>
      </c>
      <c r="C151" t="str">
        <f>IF(Pension!B64="","",Pension!B64)</f>
        <v>United Kingdom</v>
      </c>
      <c r="D151" t="s">
        <v>275</v>
      </c>
      <c r="F151">
        <f>IF(OR(Pension!B64="",Pension!C64=""),"",Pension!C64)</f>
        <v>4.0999999999999996</v>
      </c>
      <c r="G151" t="str">
        <f>IF(Pension!B64="","","dm")</f>
        <v>dm</v>
      </c>
    </row>
    <row r="152" spans="1:7" x14ac:dyDescent="0.25">
      <c r="A152" t="s">
        <v>278</v>
      </c>
      <c r="B152" t="s">
        <v>228</v>
      </c>
      <c r="C152" t="str">
        <f>IF(Pension!B65="","",Pension!B65)</f>
        <v>Canada</v>
      </c>
      <c r="D152" t="s">
        <v>275</v>
      </c>
      <c r="F152">
        <f>IF(OR(Pension!B65="",Pension!C65=""),"",Pension!C65)</f>
        <v>2.5</v>
      </c>
      <c r="G152" t="str">
        <f>IF(Pension!B65="","","dm")</f>
        <v>dm</v>
      </c>
    </row>
    <row r="153" spans="1:7" x14ac:dyDescent="0.25">
      <c r="A153" t="s">
        <v>278</v>
      </c>
      <c r="B153" t="s">
        <v>228</v>
      </c>
      <c r="C153" t="str">
        <f>IF(Pension!B66="","",Pension!B66)</f>
        <v>Japan</v>
      </c>
      <c r="D153" t="s">
        <v>275</v>
      </c>
      <c r="F153">
        <f>IF(OR(Pension!B66="",Pension!C66=""),"",Pension!C66)</f>
        <v>1.9</v>
      </c>
      <c r="G153" t="str">
        <f>IF(Pension!B66="","","dm")</f>
        <v>dm</v>
      </c>
    </row>
    <row r="154" spans="1:7" x14ac:dyDescent="0.25">
      <c r="A154" t="s">
        <v>278</v>
      </c>
      <c r="B154" t="s">
        <v>228</v>
      </c>
      <c r="C154" t="str">
        <f>IF(Pension!B67="","",Pension!B67)</f>
        <v>Germany</v>
      </c>
      <c r="D154" t="s">
        <v>275</v>
      </c>
      <c r="F154">
        <f>IF(OR(Pension!B67="",Pension!C67=""),"",Pension!C67)</f>
        <v>1.6</v>
      </c>
      <c r="G154" t="str">
        <f>IF(Pension!B67="","","dm")</f>
        <v>dm</v>
      </c>
    </row>
    <row r="155" spans="1:7" x14ac:dyDescent="0.25">
      <c r="A155" t="s">
        <v>278</v>
      </c>
      <c r="B155" t="s">
        <v>228</v>
      </c>
      <c r="C155" t="str">
        <f>IF(Pension!B69="","",Pension!B69)</f>
        <v>China</v>
      </c>
      <c r="D155" t="s">
        <v>275</v>
      </c>
      <c r="F155">
        <f>IF(OR(Pension!B69="",Pension!C69=""),"",Pension!C69)</f>
        <v>1.7</v>
      </c>
      <c r="G155" t="str">
        <f>IF(Pension!B69="","","em")</f>
        <v>em</v>
      </c>
    </row>
    <row r="156" spans="1:7" x14ac:dyDescent="0.25">
      <c r="A156" t="s">
        <v>278</v>
      </c>
      <c r="B156" t="s">
        <v>228</v>
      </c>
      <c r="C156" t="str">
        <f>IF(Pension!B70="","",Pension!B70)</f>
        <v>Taiwan</v>
      </c>
      <c r="D156" t="s">
        <v>275</v>
      </c>
      <c r="F156">
        <f>IF(OR(Pension!B70="",Pension!C70=""),"",Pension!C70)</f>
        <v>1.1000000000000001</v>
      </c>
      <c r="G156" t="str">
        <f>IF(Pension!B70="","","em")</f>
        <v>em</v>
      </c>
    </row>
    <row r="157" spans="1:7" x14ac:dyDescent="0.25">
      <c r="A157" t="s">
        <v>278</v>
      </c>
      <c r="B157" t="s">
        <v>228</v>
      </c>
      <c r="C157" t="str">
        <f>IF(Pension!B71="","",Pension!B71)</f>
        <v>South Korea</v>
      </c>
      <c r="D157" t="s">
        <v>275</v>
      </c>
      <c r="F157">
        <f>IF(OR(Pension!B71="",Pension!C71=""),"",Pension!C71)</f>
        <v>1</v>
      </c>
      <c r="G157" t="str">
        <f>IF(Pension!B71="","","em")</f>
        <v>em</v>
      </c>
    </row>
    <row r="158" spans="1:7" x14ac:dyDescent="0.25">
      <c r="A158" t="s">
        <v>278</v>
      </c>
      <c r="B158" t="s">
        <v>228</v>
      </c>
      <c r="C158" t="str">
        <f>IF(Pension!B72="","",Pension!B72)</f>
        <v>Brazil</v>
      </c>
      <c r="D158" t="s">
        <v>275</v>
      </c>
      <c r="F158">
        <f>IF(OR(Pension!B72="",Pension!C72=""),"",Pension!C72)</f>
        <v>0.4</v>
      </c>
      <c r="G158" t="str">
        <f>IF(Pension!B72="","","em")</f>
        <v>em</v>
      </c>
    </row>
    <row r="159" spans="1:7" x14ac:dyDescent="0.25">
      <c r="A159" t="s">
        <v>278</v>
      </c>
      <c r="B159" t="s">
        <v>228</v>
      </c>
      <c r="C159" t="str">
        <f>IF(Pension!B73="","",Pension!B73)</f>
        <v>India</v>
      </c>
      <c r="D159" t="s">
        <v>275</v>
      </c>
      <c r="F159">
        <f>IF(OR(Pension!B73="",Pension!C73=""),"",Pension!C73)</f>
        <v>0.4</v>
      </c>
      <c r="G159" t="str">
        <f>IF(Pension!B73="","","em")</f>
        <v>em</v>
      </c>
    </row>
    <row r="160" spans="1:7" x14ac:dyDescent="0.25">
      <c r="A160" t="s">
        <v>227</v>
      </c>
      <c r="B160" t="s">
        <v>279</v>
      </c>
      <c r="C160" t="s">
        <v>229</v>
      </c>
      <c r="D160" t="s">
        <v>230</v>
      </c>
      <c r="F160">
        <f>IF(OPEB!C4="","",OPEB!C4)</f>
        <v>6447</v>
      </c>
    </row>
    <row r="161" spans="1:6" x14ac:dyDescent="0.25">
      <c r="A161" t="s">
        <v>227</v>
      </c>
      <c r="B161" t="s">
        <v>279</v>
      </c>
      <c r="C161" t="s">
        <v>229</v>
      </c>
      <c r="D161" t="s">
        <v>231</v>
      </c>
      <c r="F161">
        <f>IF(OPEB!C5="","",OPEB!C5)</f>
        <v>145</v>
      </c>
    </row>
    <row r="162" spans="1:6" x14ac:dyDescent="0.25">
      <c r="A162" t="s">
        <v>227</v>
      </c>
      <c r="B162" t="s">
        <v>279</v>
      </c>
      <c r="C162" t="s">
        <v>229</v>
      </c>
      <c r="D162" t="s">
        <v>232</v>
      </c>
      <c r="F162">
        <f>IF(OPEB!C6="","",OPEB!C6)</f>
        <v>1.37</v>
      </c>
    </row>
    <row r="163" spans="1:6" x14ac:dyDescent="0.25">
      <c r="A163" t="s">
        <v>233</v>
      </c>
      <c r="B163" t="s">
        <v>279</v>
      </c>
      <c r="C163" t="s">
        <v>229</v>
      </c>
      <c r="D163" t="s">
        <v>234</v>
      </c>
      <c r="E163" t="s">
        <v>22</v>
      </c>
      <c r="F163">
        <f>IF(OPEB!C9="","",OPEB!C9)</f>
        <v>0.2</v>
      </c>
    </row>
    <row r="164" spans="1:6" x14ac:dyDescent="0.25">
      <c r="A164" t="s">
        <v>233</v>
      </c>
      <c r="B164" t="s">
        <v>279</v>
      </c>
      <c r="C164" t="s">
        <v>229</v>
      </c>
      <c r="D164" t="s">
        <v>234</v>
      </c>
      <c r="E164" t="s">
        <v>23</v>
      </c>
      <c r="F164">
        <f>IF(OPEB!D9="","",OPEB!D9)</f>
        <v>7.6</v>
      </c>
    </row>
    <row r="165" spans="1:6" x14ac:dyDescent="0.25">
      <c r="A165" t="s">
        <v>233</v>
      </c>
      <c r="B165" t="s">
        <v>279</v>
      </c>
      <c r="C165" t="s">
        <v>229</v>
      </c>
      <c r="D165" t="s">
        <v>234</v>
      </c>
      <c r="E165" t="s">
        <v>24</v>
      </c>
      <c r="F165">
        <f>IF(OPEB!E9="","",OPEB!E9)</f>
        <v>14.4</v>
      </c>
    </row>
    <row r="166" spans="1:6" x14ac:dyDescent="0.25">
      <c r="A166" t="s">
        <v>233</v>
      </c>
      <c r="B166" t="s">
        <v>279</v>
      </c>
      <c r="C166" t="s">
        <v>229</v>
      </c>
      <c r="D166" t="s">
        <v>234</v>
      </c>
      <c r="E166" t="s">
        <v>25</v>
      </c>
      <c r="F166">
        <f>IF(OPEB!F9="","",OPEB!F9)</f>
        <v>7.2</v>
      </c>
    </row>
    <row r="167" spans="1:6" x14ac:dyDescent="0.25">
      <c r="A167" t="s">
        <v>233</v>
      </c>
      <c r="B167" t="s">
        <v>279</v>
      </c>
      <c r="C167" t="s">
        <v>229</v>
      </c>
      <c r="D167" t="s">
        <v>234</v>
      </c>
      <c r="E167" t="s">
        <v>26</v>
      </c>
      <c r="F167">
        <f>IF(OPEB!G9="","",OPEB!G9)</f>
        <v>14.4</v>
      </c>
    </row>
    <row r="168" spans="1:6" x14ac:dyDescent="0.25">
      <c r="A168" t="s">
        <v>233</v>
      </c>
      <c r="B168" t="s">
        <v>279</v>
      </c>
      <c r="C168" t="s">
        <v>229</v>
      </c>
      <c r="D168" t="s">
        <v>234</v>
      </c>
      <c r="E168" t="s">
        <v>27</v>
      </c>
      <c r="F168">
        <f>IF(OPEB!H9="","",OPEB!H9)</f>
        <v>12.2</v>
      </c>
    </row>
    <row r="169" spans="1:6" x14ac:dyDescent="0.25">
      <c r="A169" t="s">
        <v>233</v>
      </c>
      <c r="B169" t="s">
        <v>279</v>
      </c>
      <c r="C169" t="s">
        <v>229</v>
      </c>
      <c r="D169" t="s">
        <v>234</v>
      </c>
      <c r="E169" t="s">
        <v>28</v>
      </c>
      <c r="F169">
        <f>IF(OPEB!I9="","",OPEB!I9)</f>
        <v>6.5</v>
      </c>
    </row>
    <row r="170" spans="1:6" x14ac:dyDescent="0.25">
      <c r="A170" t="s">
        <v>233</v>
      </c>
      <c r="B170" t="s">
        <v>279</v>
      </c>
      <c r="C170" t="s">
        <v>229</v>
      </c>
      <c r="D170" t="s">
        <v>234</v>
      </c>
      <c r="E170" t="s">
        <v>29</v>
      </c>
      <c r="F170">
        <f>IF(OPEB!J9="","",OPEB!J9)</f>
        <v>9.5</v>
      </c>
    </row>
    <row r="171" spans="1:6" x14ac:dyDescent="0.25">
      <c r="A171" t="s">
        <v>233</v>
      </c>
      <c r="B171" t="s">
        <v>279</v>
      </c>
      <c r="C171" t="s">
        <v>229</v>
      </c>
      <c r="D171" t="s">
        <v>235</v>
      </c>
      <c r="E171" t="s">
        <v>22</v>
      </c>
      <c r="F171">
        <f>IF(OPEB!C10="","",OPEB!C10)</f>
        <v>-0.6</v>
      </c>
    </row>
    <row r="172" spans="1:6" x14ac:dyDescent="0.25">
      <c r="A172" t="s">
        <v>233</v>
      </c>
      <c r="B172" t="s">
        <v>279</v>
      </c>
      <c r="C172" t="s">
        <v>229</v>
      </c>
      <c r="D172" t="s">
        <v>235</v>
      </c>
      <c r="E172" t="s">
        <v>23</v>
      </c>
      <c r="F172">
        <f>IF(OPEB!D10="","",OPEB!D10)</f>
        <v>6.4</v>
      </c>
    </row>
    <row r="173" spans="1:6" x14ac:dyDescent="0.25">
      <c r="A173" t="s">
        <v>233</v>
      </c>
      <c r="B173" t="s">
        <v>279</v>
      </c>
      <c r="C173" t="s">
        <v>229</v>
      </c>
      <c r="D173" t="s">
        <v>235</v>
      </c>
      <c r="E173" t="s">
        <v>24</v>
      </c>
      <c r="F173">
        <f>IF(OPEB!E10="","",OPEB!E10)</f>
        <v>14</v>
      </c>
    </row>
    <row r="174" spans="1:6" x14ac:dyDescent="0.25">
      <c r="A174" t="s">
        <v>233</v>
      </c>
      <c r="B174" t="s">
        <v>279</v>
      </c>
      <c r="C174" t="s">
        <v>229</v>
      </c>
      <c r="D174" t="s">
        <v>235</v>
      </c>
      <c r="E174" t="s">
        <v>25</v>
      </c>
      <c r="F174">
        <f>IF(OPEB!F10="","",OPEB!F10)</f>
        <v>6.1</v>
      </c>
    </row>
    <row r="175" spans="1:6" x14ac:dyDescent="0.25">
      <c r="A175" t="s">
        <v>233</v>
      </c>
      <c r="B175" t="s">
        <v>279</v>
      </c>
      <c r="C175" t="s">
        <v>229</v>
      </c>
      <c r="D175" t="s">
        <v>235</v>
      </c>
      <c r="E175" t="s">
        <v>26</v>
      </c>
      <c r="F175">
        <f>IF(OPEB!G10="","",OPEB!G10)</f>
        <v>14</v>
      </c>
    </row>
    <row r="176" spans="1:6" x14ac:dyDescent="0.25">
      <c r="A176" t="s">
        <v>233</v>
      </c>
      <c r="B176" t="s">
        <v>279</v>
      </c>
      <c r="C176" t="s">
        <v>229</v>
      </c>
      <c r="D176" t="s">
        <v>235</v>
      </c>
      <c r="E176" t="s">
        <v>27</v>
      </c>
      <c r="F176">
        <f>IF(OPEB!H10="","",OPEB!H10)</f>
        <v>11.6</v>
      </c>
    </row>
    <row r="177" spans="1:6" x14ac:dyDescent="0.25">
      <c r="A177" t="s">
        <v>233</v>
      </c>
      <c r="B177" t="s">
        <v>279</v>
      </c>
      <c r="C177" t="s">
        <v>229</v>
      </c>
      <c r="D177" t="s">
        <v>235</v>
      </c>
      <c r="E177" t="s">
        <v>28</v>
      </c>
      <c r="F177">
        <f>IF(OPEB!I10="","",OPEB!I10)</f>
        <v>6</v>
      </c>
    </row>
    <row r="178" spans="1:6" x14ac:dyDescent="0.25">
      <c r="A178" t="s">
        <v>233</v>
      </c>
      <c r="B178" t="s">
        <v>279</v>
      </c>
      <c r="C178" t="s">
        <v>229</v>
      </c>
      <c r="D178" t="s">
        <v>235</v>
      </c>
      <c r="E178" t="s">
        <v>29</v>
      </c>
      <c r="F178">
        <f>IF(OPEB!J10="","",OPEB!J10)</f>
        <v>8.5</v>
      </c>
    </row>
    <row r="179" spans="1:6" x14ac:dyDescent="0.25">
      <c r="A179" t="s">
        <v>233</v>
      </c>
      <c r="B179" t="s">
        <v>279</v>
      </c>
      <c r="C179" t="s">
        <v>229</v>
      </c>
      <c r="D179" t="s">
        <v>236</v>
      </c>
      <c r="E179" t="s">
        <v>22</v>
      </c>
      <c r="F179">
        <f>IF(OPEB!C11="","",OPEB!C11)</f>
        <v>0.5</v>
      </c>
    </row>
    <row r="180" spans="1:6" x14ac:dyDescent="0.25">
      <c r="A180" t="s">
        <v>233</v>
      </c>
      <c r="B180" t="s">
        <v>279</v>
      </c>
      <c r="C180" t="s">
        <v>229</v>
      </c>
      <c r="D180" t="s">
        <v>236</v>
      </c>
      <c r="E180" t="s">
        <v>23</v>
      </c>
      <c r="F180">
        <f>IF(OPEB!D11="","",OPEB!D11)</f>
        <v>1.5</v>
      </c>
    </row>
    <row r="181" spans="1:6" x14ac:dyDescent="0.25">
      <c r="A181" t="s">
        <v>233</v>
      </c>
      <c r="B181" t="s">
        <v>279</v>
      </c>
      <c r="C181" t="s">
        <v>229</v>
      </c>
      <c r="D181" t="s">
        <v>236</v>
      </c>
      <c r="E181" t="s">
        <v>24</v>
      </c>
      <c r="F181">
        <f>IF(OPEB!E11="","",OPEB!E11)</f>
        <v>6.2</v>
      </c>
    </row>
    <row r="182" spans="1:6" x14ac:dyDescent="0.25">
      <c r="A182" t="s">
        <v>233</v>
      </c>
      <c r="B182" t="s">
        <v>279</v>
      </c>
      <c r="C182" t="s">
        <v>229</v>
      </c>
      <c r="D182" t="s">
        <v>236</v>
      </c>
      <c r="E182" t="s">
        <v>25</v>
      </c>
      <c r="F182">
        <f>IF(OPEB!F11="","",OPEB!F11)</f>
        <v>3.1</v>
      </c>
    </row>
    <row r="183" spans="1:6" x14ac:dyDescent="0.25">
      <c r="A183" t="s">
        <v>233</v>
      </c>
      <c r="B183" t="s">
        <v>279</v>
      </c>
      <c r="C183" t="s">
        <v>229</v>
      </c>
      <c r="D183" t="s">
        <v>236</v>
      </c>
      <c r="E183" t="s">
        <v>26</v>
      </c>
      <c r="F183">
        <f>IF(OPEB!G11="","",OPEB!G11)</f>
        <v>6.2</v>
      </c>
    </row>
    <row r="184" spans="1:6" x14ac:dyDescent="0.25">
      <c r="A184" t="s">
        <v>233</v>
      </c>
      <c r="B184" t="s">
        <v>279</v>
      </c>
      <c r="C184" t="s">
        <v>229</v>
      </c>
      <c r="D184" t="s">
        <v>236</v>
      </c>
      <c r="E184" t="s">
        <v>27</v>
      </c>
      <c r="F184">
        <f>IF(OPEB!H11="","",OPEB!H11)</f>
        <v>6.2</v>
      </c>
    </row>
    <row r="185" spans="1:6" x14ac:dyDescent="0.25">
      <c r="A185" t="s">
        <v>233</v>
      </c>
      <c r="B185" t="s">
        <v>279</v>
      </c>
      <c r="C185" t="s">
        <v>229</v>
      </c>
      <c r="D185" t="s">
        <v>236</v>
      </c>
      <c r="E185" t="s">
        <v>28</v>
      </c>
      <c r="F185">
        <f>IF(OPEB!I11="","",OPEB!I11)</f>
        <v>6.1</v>
      </c>
    </row>
    <row r="186" spans="1:6" x14ac:dyDescent="0.25">
      <c r="A186" t="s">
        <v>233</v>
      </c>
      <c r="B186" t="s">
        <v>279</v>
      </c>
      <c r="C186" t="s">
        <v>229</v>
      </c>
      <c r="D186" t="s">
        <v>236</v>
      </c>
      <c r="E186" t="s">
        <v>29</v>
      </c>
      <c r="F186">
        <f>IF(OPEB!J11="","",OPEB!J11)</f>
        <v>6</v>
      </c>
    </row>
    <row r="187" spans="1:6" x14ac:dyDescent="0.25">
      <c r="A187" t="s">
        <v>233</v>
      </c>
      <c r="B187" t="s">
        <v>279</v>
      </c>
      <c r="C187" t="s">
        <v>237</v>
      </c>
      <c r="D187" t="s">
        <v>234</v>
      </c>
      <c r="E187" t="s">
        <v>22</v>
      </c>
      <c r="F187">
        <f>IF(OPEB!C12="","",OPEB!C12)</f>
        <v>-0.2</v>
      </c>
    </row>
    <row r="188" spans="1:6" x14ac:dyDescent="0.25">
      <c r="A188" t="s">
        <v>233</v>
      </c>
      <c r="B188" t="s">
        <v>279</v>
      </c>
      <c r="C188" t="s">
        <v>237</v>
      </c>
      <c r="D188" t="s">
        <v>234</v>
      </c>
      <c r="E188" t="s">
        <v>23</v>
      </c>
      <c r="F188">
        <f>IF(OPEB!D12="","",OPEB!D12)</f>
        <v>14.4</v>
      </c>
    </row>
    <row r="189" spans="1:6" x14ac:dyDescent="0.25">
      <c r="A189" t="s">
        <v>233</v>
      </c>
      <c r="B189" t="s">
        <v>279</v>
      </c>
      <c r="C189" t="s">
        <v>237</v>
      </c>
      <c r="D189" t="s">
        <v>234</v>
      </c>
      <c r="E189" t="s">
        <v>24</v>
      </c>
      <c r="F189">
        <f>IF(OPEB!E12="","",OPEB!E12)</f>
        <v>24.7</v>
      </c>
    </row>
    <row r="190" spans="1:6" x14ac:dyDescent="0.25">
      <c r="A190" t="s">
        <v>233</v>
      </c>
      <c r="B190" t="s">
        <v>279</v>
      </c>
      <c r="C190" t="s">
        <v>237</v>
      </c>
      <c r="D190" t="s">
        <v>234</v>
      </c>
      <c r="E190" t="s">
        <v>25</v>
      </c>
      <c r="F190">
        <f>IF(OPEB!F12="","",OPEB!F12)</f>
        <v>12</v>
      </c>
    </row>
    <row r="191" spans="1:6" x14ac:dyDescent="0.25">
      <c r="A191" t="s">
        <v>233</v>
      </c>
      <c r="B191" t="s">
        <v>279</v>
      </c>
      <c r="C191" t="s">
        <v>237</v>
      </c>
      <c r="D191" t="s">
        <v>234</v>
      </c>
      <c r="E191" t="s">
        <v>26</v>
      </c>
      <c r="F191">
        <f>IF(OPEB!G12="","",OPEB!G12)</f>
        <v>24.7</v>
      </c>
    </row>
    <row r="192" spans="1:6" x14ac:dyDescent="0.25">
      <c r="A192" t="s">
        <v>233</v>
      </c>
      <c r="B192" t="s">
        <v>279</v>
      </c>
      <c r="C192" t="s">
        <v>237</v>
      </c>
      <c r="D192" t="s">
        <v>234</v>
      </c>
      <c r="E192" t="s">
        <v>27</v>
      </c>
      <c r="F192">
        <f>IF(OPEB!H12="","",OPEB!H12)</f>
        <v>19.8</v>
      </c>
    </row>
    <row r="193" spans="1:6" x14ac:dyDescent="0.25">
      <c r="A193" t="s">
        <v>233</v>
      </c>
      <c r="B193" t="s">
        <v>279</v>
      </c>
      <c r="C193" t="s">
        <v>237</v>
      </c>
      <c r="D193" t="s">
        <v>234</v>
      </c>
      <c r="E193" t="s">
        <v>28</v>
      </c>
      <c r="F193">
        <f>IF(OPEB!I12="","",OPEB!I12)</f>
        <v>10.9</v>
      </c>
    </row>
    <row r="194" spans="1:6" x14ac:dyDescent="0.25">
      <c r="A194" t="s">
        <v>233</v>
      </c>
      <c r="B194" t="s">
        <v>279</v>
      </c>
      <c r="C194" t="s">
        <v>237</v>
      </c>
      <c r="D194" t="s">
        <v>234</v>
      </c>
      <c r="E194" t="s">
        <v>29</v>
      </c>
      <c r="F194" t="str">
        <f>IF(OPEB!J12="","",OPEB!J12)</f>
        <v/>
      </c>
    </row>
    <row r="195" spans="1:6" x14ac:dyDescent="0.25">
      <c r="A195" t="s">
        <v>233</v>
      </c>
      <c r="B195" t="s">
        <v>279</v>
      </c>
      <c r="C195" t="s">
        <v>237</v>
      </c>
      <c r="D195" t="s">
        <v>235</v>
      </c>
      <c r="E195" t="s">
        <v>22</v>
      </c>
      <c r="F195">
        <f>IF(OPEB!C13="","",OPEB!C13)</f>
        <v>-1.3</v>
      </c>
    </row>
    <row r="196" spans="1:6" x14ac:dyDescent="0.25">
      <c r="A196" t="s">
        <v>233</v>
      </c>
      <c r="B196" t="s">
        <v>279</v>
      </c>
      <c r="C196" t="s">
        <v>237</v>
      </c>
      <c r="D196" t="s">
        <v>235</v>
      </c>
      <c r="E196" t="s">
        <v>23</v>
      </c>
      <c r="F196">
        <f>IF(OPEB!D13="","",OPEB!D13)</f>
        <v>12.9</v>
      </c>
    </row>
    <row r="197" spans="1:6" x14ac:dyDescent="0.25">
      <c r="A197" t="s">
        <v>233</v>
      </c>
      <c r="B197" t="s">
        <v>279</v>
      </c>
      <c r="C197" t="s">
        <v>237</v>
      </c>
      <c r="D197" t="s">
        <v>235</v>
      </c>
      <c r="E197" t="s">
        <v>24</v>
      </c>
      <c r="F197">
        <f>IF(OPEB!E13="","",OPEB!E13)</f>
        <v>24.2</v>
      </c>
    </row>
    <row r="198" spans="1:6" x14ac:dyDescent="0.25">
      <c r="A198" t="s">
        <v>233</v>
      </c>
      <c r="B198" t="s">
        <v>279</v>
      </c>
      <c r="C198" t="s">
        <v>237</v>
      </c>
      <c r="D198" t="s">
        <v>235</v>
      </c>
      <c r="E198" t="s">
        <v>25</v>
      </c>
      <c r="F198">
        <f>IF(OPEB!F13="","",OPEB!F13)</f>
        <v>10.7</v>
      </c>
    </row>
    <row r="199" spans="1:6" x14ac:dyDescent="0.25">
      <c r="A199" t="s">
        <v>233</v>
      </c>
      <c r="B199" t="s">
        <v>279</v>
      </c>
      <c r="C199" t="s">
        <v>237</v>
      </c>
      <c r="D199" t="s">
        <v>235</v>
      </c>
      <c r="E199" t="s">
        <v>26</v>
      </c>
      <c r="F199">
        <f>IF(OPEB!G13="","",OPEB!G13)</f>
        <v>24.2</v>
      </c>
    </row>
    <row r="200" spans="1:6" x14ac:dyDescent="0.25">
      <c r="A200" t="s">
        <v>233</v>
      </c>
      <c r="B200" t="s">
        <v>279</v>
      </c>
      <c r="C200" t="s">
        <v>237</v>
      </c>
      <c r="D200" t="s">
        <v>235</v>
      </c>
      <c r="E200" t="s">
        <v>27</v>
      </c>
      <c r="F200">
        <f>IF(OPEB!H13="","",OPEB!H13)</f>
        <v>19.5</v>
      </c>
    </row>
    <row r="201" spans="1:6" x14ac:dyDescent="0.25">
      <c r="A201" t="s">
        <v>233</v>
      </c>
      <c r="B201" t="s">
        <v>279</v>
      </c>
      <c r="C201" t="s">
        <v>237</v>
      </c>
      <c r="D201" t="s">
        <v>235</v>
      </c>
      <c r="E201" t="s">
        <v>28</v>
      </c>
      <c r="F201">
        <f>IF(OPEB!I13="","",OPEB!I13)</f>
        <v>10.4</v>
      </c>
    </row>
    <row r="202" spans="1:6" x14ac:dyDescent="0.25">
      <c r="A202" t="s">
        <v>233</v>
      </c>
      <c r="B202" t="s">
        <v>279</v>
      </c>
      <c r="C202" t="s">
        <v>237</v>
      </c>
      <c r="D202" t="s">
        <v>235</v>
      </c>
      <c r="E202" t="s">
        <v>29</v>
      </c>
      <c r="F202" t="str">
        <f>IF(OPEB!J13="","",OPEB!J13)</f>
        <v/>
      </c>
    </row>
    <row r="203" spans="1:6" x14ac:dyDescent="0.25">
      <c r="A203" t="s">
        <v>233</v>
      </c>
      <c r="B203" t="s">
        <v>279</v>
      </c>
      <c r="C203" t="s">
        <v>238</v>
      </c>
      <c r="D203" t="s">
        <v>234</v>
      </c>
      <c r="E203" t="s">
        <v>22</v>
      </c>
      <c r="F203">
        <f>IF(OPEB!C14="","",OPEB!C14)</f>
        <v>0.2</v>
      </c>
    </row>
    <row r="204" spans="1:6" x14ac:dyDescent="0.25">
      <c r="A204" t="s">
        <v>233</v>
      </c>
      <c r="B204" t="s">
        <v>279</v>
      </c>
      <c r="C204" t="s">
        <v>238</v>
      </c>
      <c r="D204" t="s">
        <v>234</v>
      </c>
      <c r="E204" t="s">
        <v>23</v>
      </c>
      <c r="F204">
        <f>IF(OPEB!D14="","",OPEB!D14)</f>
        <v>1.9</v>
      </c>
    </row>
    <row r="205" spans="1:6" x14ac:dyDescent="0.25">
      <c r="A205" t="s">
        <v>233</v>
      </c>
      <c r="B205" t="s">
        <v>279</v>
      </c>
      <c r="C205" t="s">
        <v>238</v>
      </c>
      <c r="D205" t="s">
        <v>234</v>
      </c>
      <c r="E205" t="s">
        <v>24</v>
      </c>
      <c r="F205">
        <f>IF(OPEB!E14="","",OPEB!E14)</f>
        <v>5.9</v>
      </c>
    </row>
    <row r="206" spans="1:6" x14ac:dyDescent="0.25">
      <c r="A206" t="s">
        <v>233</v>
      </c>
      <c r="B206" t="s">
        <v>279</v>
      </c>
      <c r="C206" t="s">
        <v>238</v>
      </c>
      <c r="D206" t="s">
        <v>234</v>
      </c>
      <c r="E206" t="s">
        <v>25</v>
      </c>
      <c r="F206">
        <f>IF(OPEB!F14="","",OPEB!F14)</f>
        <v>1.8</v>
      </c>
    </row>
    <row r="207" spans="1:6" x14ac:dyDescent="0.25">
      <c r="A207" t="s">
        <v>233</v>
      </c>
      <c r="B207" t="s">
        <v>279</v>
      </c>
      <c r="C207" t="s">
        <v>238</v>
      </c>
      <c r="D207" t="s">
        <v>234</v>
      </c>
      <c r="E207" t="s">
        <v>26</v>
      </c>
      <c r="F207">
        <f>IF(OPEB!G14="","",OPEB!G14)</f>
        <v>5.9</v>
      </c>
    </row>
    <row r="208" spans="1:6" x14ac:dyDescent="0.25">
      <c r="A208" t="s">
        <v>233</v>
      </c>
      <c r="B208" t="s">
        <v>279</v>
      </c>
      <c r="C208" t="s">
        <v>238</v>
      </c>
      <c r="D208" t="s">
        <v>234</v>
      </c>
      <c r="E208" t="s">
        <v>27</v>
      </c>
      <c r="F208">
        <f>IF(OPEB!H14="","",OPEB!H14)</f>
        <v>7.4</v>
      </c>
    </row>
    <row r="209" spans="1:6" x14ac:dyDescent="0.25">
      <c r="A209" t="s">
        <v>233</v>
      </c>
      <c r="B209" t="s">
        <v>279</v>
      </c>
      <c r="C209" t="s">
        <v>238</v>
      </c>
      <c r="D209" t="s">
        <v>234</v>
      </c>
      <c r="E209" t="s">
        <v>28</v>
      </c>
      <c r="F209">
        <f>IF(OPEB!I14="","",OPEB!I14)</f>
        <v>4.3</v>
      </c>
    </row>
    <row r="210" spans="1:6" x14ac:dyDescent="0.25">
      <c r="A210" t="s">
        <v>233</v>
      </c>
      <c r="B210" t="s">
        <v>279</v>
      </c>
      <c r="C210" t="s">
        <v>238</v>
      </c>
      <c r="D210" t="s">
        <v>234</v>
      </c>
      <c r="E210" t="s">
        <v>29</v>
      </c>
      <c r="F210" t="str">
        <f>IF(OPEB!J14="","",OPEB!J14)</f>
        <v/>
      </c>
    </row>
    <row r="211" spans="1:6" x14ac:dyDescent="0.25">
      <c r="A211" t="s">
        <v>233</v>
      </c>
      <c r="B211" t="s">
        <v>279</v>
      </c>
      <c r="C211" t="s">
        <v>238</v>
      </c>
      <c r="D211" t="s">
        <v>235</v>
      </c>
      <c r="E211" t="s">
        <v>22</v>
      </c>
      <c r="F211">
        <f>IF(OPEB!C15="","",OPEB!C15)</f>
        <v>0.6</v>
      </c>
    </row>
    <row r="212" spans="1:6" x14ac:dyDescent="0.25">
      <c r="A212" t="s">
        <v>233</v>
      </c>
      <c r="B212" t="s">
        <v>279</v>
      </c>
      <c r="C212" t="s">
        <v>238</v>
      </c>
      <c r="D212" t="s">
        <v>235</v>
      </c>
      <c r="E212" t="s">
        <v>23</v>
      </c>
      <c r="F212">
        <f>IF(OPEB!D15="","",OPEB!D15)</f>
        <v>2.2000000000000002</v>
      </c>
    </row>
    <row r="213" spans="1:6" x14ac:dyDescent="0.25">
      <c r="A213" t="s">
        <v>233</v>
      </c>
      <c r="B213" t="s">
        <v>279</v>
      </c>
      <c r="C213" t="s">
        <v>238</v>
      </c>
      <c r="D213" t="s">
        <v>235</v>
      </c>
      <c r="E213" t="s">
        <v>24</v>
      </c>
      <c r="F213">
        <f>IF(OPEB!E15="","",OPEB!E15)</f>
        <v>6.8</v>
      </c>
    </row>
    <row r="214" spans="1:6" x14ac:dyDescent="0.25">
      <c r="A214" t="s">
        <v>233</v>
      </c>
      <c r="B214" t="s">
        <v>279</v>
      </c>
      <c r="C214" t="s">
        <v>238</v>
      </c>
      <c r="D214" t="s">
        <v>235</v>
      </c>
      <c r="E214" t="s">
        <v>25</v>
      </c>
      <c r="F214">
        <f>IF(OPEB!F15="","",OPEB!F15)</f>
        <v>2.5</v>
      </c>
    </row>
    <row r="215" spans="1:6" x14ac:dyDescent="0.25">
      <c r="A215" t="s">
        <v>233</v>
      </c>
      <c r="B215" t="s">
        <v>279</v>
      </c>
      <c r="C215" t="s">
        <v>238</v>
      </c>
      <c r="D215" t="s">
        <v>235</v>
      </c>
      <c r="E215" t="s">
        <v>26</v>
      </c>
      <c r="F215">
        <f>IF(OPEB!G15="","",OPEB!G15)</f>
        <v>6.8</v>
      </c>
    </row>
    <row r="216" spans="1:6" x14ac:dyDescent="0.25">
      <c r="A216" t="s">
        <v>233</v>
      </c>
      <c r="B216" t="s">
        <v>279</v>
      </c>
      <c r="C216" t="s">
        <v>238</v>
      </c>
      <c r="D216" t="s">
        <v>235</v>
      </c>
      <c r="E216" t="s">
        <v>27</v>
      </c>
      <c r="F216">
        <f>IF(OPEB!H15="","",OPEB!H15)</f>
        <v>8.9</v>
      </c>
    </row>
    <row r="217" spans="1:6" x14ac:dyDescent="0.25">
      <c r="A217" t="s">
        <v>233</v>
      </c>
      <c r="B217" t="s">
        <v>279</v>
      </c>
      <c r="C217" t="s">
        <v>238</v>
      </c>
      <c r="D217" t="s">
        <v>235</v>
      </c>
      <c r="E217" t="s">
        <v>28</v>
      </c>
      <c r="F217">
        <f>IF(OPEB!I15="","",OPEB!I15)</f>
        <v>4.9000000000000004</v>
      </c>
    </row>
    <row r="218" spans="1:6" x14ac:dyDescent="0.25">
      <c r="A218" t="s">
        <v>233</v>
      </c>
      <c r="B218" t="s">
        <v>279</v>
      </c>
      <c r="C218" t="s">
        <v>238</v>
      </c>
      <c r="D218" t="s">
        <v>235</v>
      </c>
      <c r="E218" t="s">
        <v>29</v>
      </c>
      <c r="F218" t="str">
        <f>IF(OPEB!J15="","",OPEB!J15)</f>
        <v/>
      </c>
    </row>
    <row r="219" spans="1:6" x14ac:dyDescent="0.25">
      <c r="A219" t="s">
        <v>233</v>
      </c>
      <c r="B219" t="s">
        <v>279</v>
      </c>
      <c r="C219" t="s">
        <v>239</v>
      </c>
      <c r="D219" t="s">
        <v>234</v>
      </c>
      <c r="E219" t="s">
        <v>22</v>
      </c>
      <c r="F219">
        <f>IF(OPEB!C16="","",OPEB!C16)</f>
        <v>1.7</v>
      </c>
    </row>
    <row r="220" spans="1:6" x14ac:dyDescent="0.25">
      <c r="A220" t="s">
        <v>233</v>
      </c>
      <c r="B220" t="s">
        <v>279</v>
      </c>
      <c r="C220" t="s">
        <v>239</v>
      </c>
      <c r="D220" t="s">
        <v>234</v>
      </c>
      <c r="E220" t="s">
        <v>23</v>
      </c>
      <c r="F220">
        <f>IF(OPEB!D16="","",OPEB!D16)</f>
        <v>5.9</v>
      </c>
    </row>
    <row r="221" spans="1:6" x14ac:dyDescent="0.25">
      <c r="A221" t="s">
        <v>233</v>
      </c>
      <c r="B221" t="s">
        <v>279</v>
      </c>
      <c r="C221" t="s">
        <v>239</v>
      </c>
      <c r="D221" t="s">
        <v>234</v>
      </c>
      <c r="E221" t="s">
        <v>24</v>
      </c>
      <c r="F221">
        <f>IF(OPEB!E16="","",OPEB!E16)</f>
        <v>12</v>
      </c>
    </row>
    <row r="222" spans="1:6" x14ac:dyDescent="0.25">
      <c r="A222" t="s">
        <v>233</v>
      </c>
      <c r="B222" t="s">
        <v>279</v>
      </c>
      <c r="C222" t="s">
        <v>239</v>
      </c>
      <c r="D222" t="s">
        <v>234</v>
      </c>
      <c r="E222" t="s">
        <v>25</v>
      </c>
      <c r="F222">
        <f>IF(OPEB!F16="","",OPEB!F16)</f>
        <v>8.9</v>
      </c>
    </row>
    <row r="223" spans="1:6" x14ac:dyDescent="0.25">
      <c r="A223" t="s">
        <v>233</v>
      </c>
      <c r="B223" t="s">
        <v>279</v>
      </c>
      <c r="C223" t="s">
        <v>239</v>
      </c>
      <c r="D223" t="s">
        <v>234</v>
      </c>
      <c r="E223" t="s">
        <v>26</v>
      </c>
      <c r="F223">
        <f>IF(OPEB!G16="","",OPEB!G16)</f>
        <v>12</v>
      </c>
    </row>
    <row r="224" spans="1:6" x14ac:dyDescent="0.25">
      <c r="A224" t="s">
        <v>233</v>
      </c>
      <c r="B224" t="s">
        <v>279</v>
      </c>
      <c r="C224" t="s">
        <v>239</v>
      </c>
      <c r="D224" t="s">
        <v>234</v>
      </c>
      <c r="E224" t="s">
        <v>27</v>
      </c>
      <c r="F224">
        <f>IF(OPEB!H16="","",OPEB!H16)</f>
        <v>8</v>
      </c>
    </row>
    <row r="225" spans="1:6" x14ac:dyDescent="0.25">
      <c r="A225" t="s">
        <v>233</v>
      </c>
      <c r="B225" t="s">
        <v>279</v>
      </c>
      <c r="C225" t="s">
        <v>239</v>
      </c>
      <c r="D225" t="s">
        <v>234</v>
      </c>
      <c r="E225" t="s">
        <v>28</v>
      </c>
      <c r="F225">
        <f>IF(OPEB!I16="","",OPEB!I16)</f>
        <v>4.3</v>
      </c>
    </row>
    <row r="226" spans="1:6" x14ac:dyDescent="0.25">
      <c r="A226" t="s">
        <v>233</v>
      </c>
      <c r="B226" t="s">
        <v>279</v>
      </c>
      <c r="C226" t="s">
        <v>239</v>
      </c>
      <c r="D226" t="s">
        <v>234</v>
      </c>
      <c r="E226" t="s">
        <v>29</v>
      </c>
      <c r="F226" t="str">
        <f>IF(OPEB!J16="","",OPEB!J16)</f>
        <v/>
      </c>
    </row>
    <row r="227" spans="1:6" x14ac:dyDescent="0.25">
      <c r="A227" t="s">
        <v>233</v>
      </c>
      <c r="B227" t="s">
        <v>279</v>
      </c>
      <c r="C227" t="s">
        <v>239</v>
      </c>
      <c r="D227" t="s">
        <v>235</v>
      </c>
      <c r="E227" t="s">
        <v>22</v>
      </c>
      <c r="F227">
        <f>IF(OPEB!C17="","",OPEB!C17)</f>
        <v>-1.7</v>
      </c>
    </row>
    <row r="228" spans="1:6" x14ac:dyDescent="0.25">
      <c r="A228" t="s">
        <v>233</v>
      </c>
      <c r="B228" t="s">
        <v>279</v>
      </c>
      <c r="C228" t="s">
        <v>239</v>
      </c>
      <c r="D228" t="s">
        <v>235</v>
      </c>
      <c r="E228" t="s">
        <v>23</v>
      </c>
      <c r="F228">
        <f>IF(OPEB!D17="","",OPEB!D17)</f>
        <v>1</v>
      </c>
    </row>
    <row r="229" spans="1:6" x14ac:dyDescent="0.25">
      <c r="A229" t="s">
        <v>233</v>
      </c>
      <c r="B229" t="s">
        <v>279</v>
      </c>
      <c r="C229" t="s">
        <v>239</v>
      </c>
      <c r="D229" t="s">
        <v>235</v>
      </c>
      <c r="E229" t="s">
        <v>24</v>
      </c>
      <c r="F229">
        <f>IF(OPEB!E17="","",OPEB!E17)</f>
        <v>9.3000000000000007</v>
      </c>
    </row>
    <row r="230" spans="1:6" x14ac:dyDescent="0.25">
      <c r="A230" t="s">
        <v>233</v>
      </c>
      <c r="B230" t="s">
        <v>279</v>
      </c>
      <c r="C230" t="s">
        <v>239</v>
      </c>
      <c r="D230" t="s">
        <v>235</v>
      </c>
      <c r="E230" t="s">
        <v>25</v>
      </c>
      <c r="F230">
        <f>IF(OPEB!F17="","",OPEB!F17)</f>
        <v>4.5999999999999996</v>
      </c>
    </row>
    <row r="231" spans="1:6" x14ac:dyDescent="0.25">
      <c r="A231" t="s">
        <v>233</v>
      </c>
      <c r="B231" t="s">
        <v>279</v>
      </c>
      <c r="C231" t="s">
        <v>239</v>
      </c>
      <c r="D231" t="s">
        <v>235</v>
      </c>
      <c r="E231" t="s">
        <v>26</v>
      </c>
      <c r="F231">
        <f>IF(OPEB!G17="","",OPEB!G17)</f>
        <v>9.3000000000000007</v>
      </c>
    </row>
    <row r="232" spans="1:6" x14ac:dyDescent="0.25">
      <c r="A232" t="s">
        <v>233</v>
      </c>
      <c r="B232" t="s">
        <v>279</v>
      </c>
      <c r="C232" t="s">
        <v>239</v>
      </c>
      <c r="D232" t="s">
        <v>235</v>
      </c>
      <c r="E232" t="s">
        <v>27</v>
      </c>
      <c r="F232">
        <f>IF(OPEB!H17="","",OPEB!H17)</f>
        <v>4.7</v>
      </c>
    </row>
    <row r="233" spans="1:6" x14ac:dyDescent="0.25">
      <c r="A233" t="s">
        <v>233</v>
      </c>
      <c r="B233" t="s">
        <v>279</v>
      </c>
      <c r="C233" t="s">
        <v>239</v>
      </c>
      <c r="D233" t="s">
        <v>235</v>
      </c>
      <c r="E233" t="s">
        <v>28</v>
      </c>
      <c r="F233">
        <f>IF(OPEB!I17="","",OPEB!I17)</f>
        <v>2.2999999999999998</v>
      </c>
    </row>
    <row r="234" spans="1:6" x14ac:dyDescent="0.25">
      <c r="A234" t="s">
        <v>233</v>
      </c>
      <c r="B234" t="s">
        <v>279</v>
      </c>
      <c r="C234" t="s">
        <v>239</v>
      </c>
      <c r="D234" t="s">
        <v>235</v>
      </c>
      <c r="E234" t="s">
        <v>29</v>
      </c>
      <c r="F234" t="str">
        <f>IF(OPEB!J17="","",OPEB!J17)</f>
        <v/>
      </c>
    </row>
    <row r="235" spans="1:6" x14ac:dyDescent="0.25">
      <c r="A235" t="s">
        <v>233</v>
      </c>
      <c r="B235" t="s">
        <v>279</v>
      </c>
      <c r="C235" t="s">
        <v>240</v>
      </c>
      <c r="D235" t="s">
        <v>234</v>
      </c>
      <c r="E235" t="s">
        <v>22</v>
      </c>
      <c r="F235">
        <f>IF(OPEB!C18="","",OPEB!C18)</f>
        <v>0.4</v>
      </c>
    </row>
    <row r="236" spans="1:6" x14ac:dyDescent="0.25">
      <c r="A236" t="s">
        <v>233</v>
      </c>
      <c r="B236" t="s">
        <v>279</v>
      </c>
      <c r="C236" t="s">
        <v>240</v>
      </c>
      <c r="D236" t="s">
        <v>234</v>
      </c>
      <c r="E236" t="s">
        <v>23</v>
      </c>
      <c r="F236">
        <f>IF(OPEB!D18="","",OPEB!D18)</f>
        <v>0.7</v>
      </c>
    </row>
    <row r="237" spans="1:6" x14ac:dyDescent="0.25">
      <c r="A237" t="s">
        <v>233</v>
      </c>
      <c r="B237" t="s">
        <v>279</v>
      </c>
      <c r="C237" t="s">
        <v>240</v>
      </c>
      <c r="D237" t="s">
        <v>234</v>
      </c>
      <c r="E237" t="s">
        <v>24</v>
      </c>
      <c r="F237">
        <f>IF(OPEB!E18="","",OPEB!E18)</f>
        <v>3.8</v>
      </c>
    </row>
    <row r="238" spans="1:6" x14ac:dyDescent="0.25">
      <c r="A238" t="s">
        <v>233</v>
      </c>
      <c r="B238" t="s">
        <v>279</v>
      </c>
      <c r="C238" t="s">
        <v>240</v>
      </c>
      <c r="D238" t="s">
        <v>234</v>
      </c>
      <c r="E238" t="s">
        <v>25</v>
      </c>
      <c r="F238">
        <f>IF(OPEB!F18="","",OPEB!F18)</f>
        <v>0.9</v>
      </c>
    </row>
    <row r="239" spans="1:6" x14ac:dyDescent="0.25">
      <c r="A239" t="s">
        <v>233</v>
      </c>
      <c r="B239" t="s">
        <v>279</v>
      </c>
      <c r="C239" t="s">
        <v>240</v>
      </c>
      <c r="D239" t="s">
        <v>234</v>
      </c>
      <c r="E239" t="s">
        <v>26</v>
      </c>
      <c r="F239">
        <f>IF(OPEB!G18="","",OPEB!G18)</f>
        <v>3.8</v>
      </c>
    </row>
    <row r="240" spans="1:6" x14ac:dyDescent="0.25">
      <c r="A240" t="s">
        <v>233</v>
      </c>
      <c r="B240" t="s">
        <v>279</v>
      </c>
      <c r="C240" t="s">
        <v>240</v>
      </c>
      <c r="D240" t="s">
        <v>234</v>
      </c>
      <c r="E240" t="s">
        <v>27</v>
      </c>
      <c r="F240">
        <f>IF(OPEB!H18="","",OPEB!H18)</f>
        <v>3.3</v>
      </c>
    </row>
    <row r="241" spans="1:6" x14ac:dyDescent="0.25">
      <c r="A241" t="s">
        <v>233</v>
      </c>
      <c r="B241" t="s">
        <v>279</v>
      </c>
      <c r="C241" t="s">
        <v>240</v>
      </c>
      <c r="D241" t="s">
        <v>234</v>
      </c>
      <c r="E241" t="s">
        <v>28</v>
      </c>
      <c r="F241">
        <f>IF(OPEB!I18="","",OPEB!I18)</f>
        <v>0.3</v>
      </c>
    </row>
    <row r="242" spans="1:6" x14ac:dyDescent="0.25">
      <c r="A242" t="s">
        <v>233</v>
      </c>
      <c r="B242" t="s">
        <v>279</v>
      </c>
      <c r="C242" t="s">
        <v>240</v>
      </c>
      <c r="D242" t="s">
        <v>234</v>
      </c>
      <c r="E242" t="s">
        <v>29</v>
      </c>
      <c r="F242" t="str">
        <f>IF(OPEB!J18="","",OPEB!J18)</f>
        <v/>
      </c>
    </row>
    <row r="243" spans="1:6" x14ac:dyDescent="0.25">
      <c r="A243" t="s">
        <v>233</v>
      </c>
      <c r="B243" t="s">
        <v>279</v>
      </c>
      <c r="C243" t="s">
        <v>240</v>
      </c>
      <c r="D243" t="s">
        <v>235</v>
      </c>
      <c r="E243" t="s">
        <v>22</v>
      </c>
      <c r="F243">
        <f>IF(OPEB!C19="","",OPEB!C19)</f>
        <v>0.4</v>
      </c>
    </row>
    <row r="244" spans="1:6" x14ac:dyDescent="0.25">
      <c r="A244" t="s">
        <v>233</v>
      </c>
      <c r="B244" t="s">
        <v>279</v>
      </c>
      <c r="C244" t="s">
        <v>240</v>
      </c>
      <c r="D244" t="s">
        <v>235</v>
      </c>
      <c r="E244" t="s">
        <v>23</v>
      </c>
      <c r="F244">
        <f>IF(OPEB!D19="","",OPEB!D19)</f>
        <v>0.7</v>
      </c>
    </row>
    <row r="245" spans="1:6" x14ac:dyDescent="0.25">
      <c r="A245" t="s">
        <v>233</v>
      </c>
      <c r="B245" t="s">
        <v>279</v>
      </c>
      <c r="C245" t="s">
        <v>240</v>
      </c>
      <c r="D245" t="s">
        <v>235</v>
      </c>
      <c r="E245" t="s">
        <v>24</v>
      </c>
      <c r="F245">
        <f>IF(OPEB!E19="","",OPEB!E19)</f>
        <v>3.7</v>
      </c>
    </row>
    <row r="246" spans="1:6" x14ac:dyDescent="0.25">
      <c r="A246" t="s">
        <v>233</v>
      </c>
      <c r="B246" t="s">
        <v>279</v>
      </c>
      <c r="C246" t="s">
        <v>240</v>
      </c>
      <c r="D246" t="s">
        <v>235</v>
      </c>
      <c r="E246" t="s">
        <v>25</v>
      </c>
      <c r="F246">
        <f>IF(OPEB!F19="","",OPEB!F19)</f>
        <v>0.7</v>
      </c>
    </row>
    <row r="247" spans="1:6" x14ac:dyDescent="0.25">
      <c r="A247" t="s">
        <v>233</v>
      </c>
      <c r="B247" t="s">
        <v>279</v>
      </c>
      <c r="C247" t="s">
        <v>240</v>
      </c>
      <c r="D247" t="s">
        <v>235</v>
      </c>
      <c r="E247" t="s">
        <v>26</v>
      </c>
      <c r="F247">
        <f>IF(OPEB!G19="","",OPEB!G19)</f>
        <v>3.7</v>
      </c>
    </row>
    <row r="248" spans="1:6" x14ac:dyDescent="0.25">
      <c r="A248" t="s">
        <v>233</v>
      </c>
      <c r="B248" t="s">
        <v>279</v>
      </c>
      <c r="C248" t="s">
        <v>240</v>
      </c>
      <c r="D248" t="s">
        <v>235</v>
      </c>
      <c r="E248" t="s">
        <v>27</v>
      </c>
      <c r="F248">
        <f>IF(OPEB!H19="","",OPEB!H19)</f>
        <v>3.1</v>
      </c>
    </row>
    <row r="249" spans="1:6" x14ac:dyDescent="0.25">
      <c r="A249" t="s">
        <v>233</v>
      </c>
      <c r="B249" t="s">
        <v>279</v>
      </c>
      <c r="C249" t="s">
        <v>240</v>
      </c>
      <c r="D249" t="s">
        <v>235</v>
      </c>
      <c r="E249" t="s">
        <v>28</v>
      </c>
      <c r="F249">
        <f>IF(OPEB!I19="","",OPEB!I19)</f>
        <v>-0.2</v>
      </c>
    </row>
    <row r="250" spans="1:6" x14ac:dyDescent="0.25">
      <c r="A250" t="s">
        <v>233</v>
      </c>
      <c r="B250" t="s">
        <v>279</v>
      </c>
      <c r="C250" t="s">
        <v>240</v>
      </c>
      <c r="D250" t="s">
        <v>235</v>
      </c>
      <c r="E250" t="s">
        <v>29</v>
      </c>
      <c r="F250" t="str">
        <f>IF(OPEB!J19="","",OPEB!J19)</f>
        <v/>
      </c>
    </row>
    <row r="251" spans="1:6" x14ac:dyDescent="0.25">
      <c r="A251" t="s">
        <v>241</v>
      </c>
      <c r="B251" t="s">
        <v>279</v>
      </c>
      <c r="C251" t="s">
        <v>237</v>
      </c>
      <c r="D251" t="s">
        <v>230</v>
      </c>
      <c r="F251">
        <f>IF(OPEB!C22="","",OPEB!C22)</f>
        <v>2910</v>
      </c>
    </row>
    <row r="252" spans="1:6" x14ac:dyDescent="0.25">
      <c r="A252" t="s">
        <v>241</v>
      </c>
      <c r="B252" t="s">
        <v>279</v>
      </c>
      <c r="C252" t="s">
        <v>237</v>
      </c>
      <c r="D252" t="s">
        <v>242</v>
      </c>
      <c r="F252">
        <f>IF(OPEB!D22="","",OPEB!D22)</f>
        <v>45.2</v>
      </c>
    </row>
    <row r="253" spans="1:6" x14ac:dyDescent="0.25">
      <c r="A253" t="s">
        <v>241</v>
      </c>
      <c r="B253" t="s">
        <v>279</v>
      </c>
      <c r="C253" t="s">
        <v>237</v>
      </c>
      <c r="D253" t="s">
        <v>243</v>
      </c>
      <c r="F253">
        <f>IF(OPEB!E22="","",OPEB!E22)</f>
        <v>45</v>
      </c>
    </row>
    <row r="254" spans="1:6" x14ac:dyDescent="0.25">
      <c r="A254" t="s">
        <v>241</v>
      </c>
      <c r="B254" t="s">
        <v>279</v>
      </c>
      <c r="C254" t="s">
        <v>237</v>
      </c>
      <c r="D254" t="s">
        <v>244</v>
      </c>
      <c r="F254">
        <f>IF(OPEB!F22="","",OPEB!F22)</f>
        <v>77</v>
      </c>
    </row>
    <row r="255" spans="1:6" x14ac:dyDescent="0.25">
      <c r="A255" t="s">
        <v>241</v>
      </c>
      <c r="B255" t="s">
        <v>279</v>
      </c>
      <c r="C255" t="s">
        <v>238</v>
      </c>
      <c r="D255" t="s">
        <v>230</v>
      </c>
      <c r="F255">
        <f>IF(OPEB!C23="","",OPEB!C23)</f>
        <v>1016</v>
      </c>
    </row>
    <row r="256" spans="1:6" x14ac:dyDescent="0.25">
      <c r="A256" t="s">
        <v>241</v>
      </c>
      <c r="B256" t="s">
        <v>279</v>
      </c>
      <c r="C256" t="s">
        <v>238</v>
      </c>
      <c r="D256" t="s">
        <v>242</v>
      </c>
      <c r="F256">
        <f>IF(OPEB!D23="","",OPEB!D23)</f>
        <v>15.8</v>
      </c>
    </row>
    <row r="257" spans="1:7" x14ac:dyDescent="0.25">
      <c r="A257" t="s">
        <v>241</v>
      </c>
      <c r="B257" t="s">
        <v>279</v>
      </c>
      <c r="C257" t="s">
        <v>238</v>
      </c>
      <c r="D257" t="s">
        <v>243</v>
      </c>
      <c r="F257">
        <f>IF(OPEB!E23="","",OPEB!E23)</f>
        <v>16</v>
      </c>
    </row>
    <row r="258" spans="1:7" x14ac:dyDescent="0.25">
      <c r="A258" t="s">
        <v>241</v>
      </c>
      <c r="B258" t="s">
        <v>279</v>
      </c>
      <c r="C258" t="s">
        <v>238</v>
      </c>
      <c r="D258" t="s">
        <v>244</v>
      </c>
      <c r="F258">
        <f>IF(OPEB!F23="","",OPEB!F23)</f>
        <v>24</v>
      </c>
    </row>
    <row r="259" spans="1:7" x14ac:dyDescent="0.25">
      <c r="A259" t="s">
        <v>241</v>
      </c>
      <c r="B259" t="s">
        <v>279</v>
      </c>
      <c r="C259" t="s">
        <v>239</v>
      </c>
      <c r="D259" t="s">
        <v>230</v>
      </c>
      <c r="F259">
        <f>IF(OPEB!C24="","",OPEB!C24)</f>
        <v>845</v>
      </c>
    </row>
    <row r="260" spans="1:7" x14ac:dyDescent="0.25">
      <c r="A260" t="s">
        <v>241</v>
      </c>
      <c r="B260" t="s">
        <v>279</v>
      </c>
      <c r="C260" t="s">
        <v>239</v>
      </c>
      <c r="D260" t="s">
        <v>242</v>
      </c>
      <c r="F260">
        <f>IF(OPEB!D24="","",OPEB!D24)</f>
        <v>13.1</v>
      </c>
    </row>
    <row r="261" spans="1:7" x14ac:dyDescent="0.25">
      <c r="A261" t="s">
        <v>241</v>
      </c>
      <c r="B261" t="s">
        <v>279</v>
      </c>
      <c r="C261" t="s">
        <v>239</v>
      </c>
      <c r="D261" t="s">
        <v>243</v>
      </c>
      <c r="F261">
        <f>IF(OPEB!E24="","",OPEB!E24)</f>
        <v>13</v>
      </c>
    </row>
    <row r="262" spans="1:7" x14ac:dyDescent="0.25">
      <c r="A262" t="s">
        <v>241</v>
      </c>
      <c r="B262" t="s">
        <v>279</v>
      </c>
      <c r="C262" t="s">
        <v>239</v>
      </c>
      <c r="D262" t="s">
        <v>244</v>
      </c>
      <c r="F262">
        <f>IF(OPEB!F24="","",OPEB!F24)</f>
        <v>-30</v>
      </c>
    </row>
    <row r="263" spans="1:7" x14ac:dyDescent="0.25">
      <c r="A263" t="s">
        <v>241</v>
      </c>
      <c r="B263" t="s">
        <v>279</v>
      </c>
      <c r="C263" t="s">
        <v>240</v>
      </c>
      <c r="D263" t="s">
        <v>230</v>
      </c>
      <c r="F263">
        <f>IF(OPEB!C25="","",OPEB!C25)</f>
        <v>1670</v>
      </c>
    </row>
    <row r="264" spans="1:7" x14ac:dyDescent="0.25">
      <c r="A264" t="s">
        <v>241</v>
      </c>
      <c r="B264" t="s">
        <v>279</v>
      </c>
      <c r="C264" t="s">
        <v>240</v>
      </c>
      <c r="D264" t="s">
        <v>242</v>
      </c>
      <c r="F264">
        <f>IF(OPEB!D25="","",OPEB!D25)</f>
        <v>25.9</v>
      </c>
    </row>
    <row r="265" spans="1:7" x14ac:dyDescent="0.25">
      <c r="A265" t="s">
        <v>241</v>
      </c>
      <c r="B265" t="s">
        <v>279</v>
      </c>
      <c r="C265" t="s">
        <v>240</v>
      </c>
      <c r="D265" t="s">
        <v>243</v>
      </c>
      <c r="F265">
        <f>IF(OPEB!E25="","",OPEB!E25)</f>
        <v>26</v>
      </c>
    </row>
    <row r="266" spans="1:7" x14ac:dyDescent="0.25">
      <c r="A266" t="s">
        <v>241</v>
      </c>
      <c r="B266" t="s">
        <v>279</v>
      </c>
      <c r="C266" t="s">
        <v>240</v>
      </c>
      <c r="D266" t="s">
        <v>244</v>
      </c>
      <c r="F266">
        <f>IF(OPEB!F25="","",OPEB!F25)</f>
        <v>41</v>
      </c>
    </row>
    <row r="267" spans="1:7" x14ac:dyDescent="0.25">
      <c r="A267" t="s">
        <v>241</v>
      </c>
      <c r="B267" t="s">
        <v>279</v>
      </c>
      <c r="C267" t="s">
        <v>245</v>
      </c>
      <c r="D267" t="s">
        <v>246</v>
      </c>
      <c r="G267" t="str">
        <f>IF(OPEB!B26="","",OPEB!B26)</f>
        <v>Not itemized (report total less listed composites)</v>
      </c>
    </row>
    <row r="268" spans="1:7" x14ac:dyDescent="0.25">
      <c r="A268" t="s">
        <v>241</v>
      </c>
      <c r="B268" t="s">
        <v>279</v>
      </c>
      <c r="C268" t="s">
        <v>245</v>
      </c>
      <c r="D268" t="s">
        <v>230</v>
      </c>
      <c r="F268">
        <f>IF(OPEB!C26="","",OPEB!C26)</f>
        <v>6</v>
      </c>
    </row>
    <row r="269" spans="1:7" x14ac:dyDescent="0.25">
      <c r="A269" t="s">
        <v>241</v>
      </c>
      <c r="B269" t="s">
        <v>279</v>
      </c>
      <c r="C269" t="s">
        <v>245</v>
      </c>
      <c r="D269" t="s">
        <v>242</v>
      </c>
      <c r="F269">
        <f>IF(OPEB!D26="","",OPEB!D26)</f>
        <v>0</v>
      </c>
    </row>
    <row r="270" spans="1:7" x14ac:dyDescent="0.25">
      <c r="A270" t="s">
        <v>241</v>
      </c>
      <c r="B270" t="s">
        <v>279</v>
      </c>
      <c r="C270" t="s">
        <v>245</v>
      </c>
      <c r="D270" t="s">
        <v>244</v>
      </c>
      <c r="F270">
        <f>IF(OPEB!F26="","",OPEB!F26)</f>
        <v>0</v>
      </c>
    </row>
    <row r="271" spans="1:7" x14ac:dyDescent="0.25">
      <c r="A271" t="s">
        <v>247</v>
      </c>
      <c r="B271" t="s">
        <v>279</v>
      </c>
      <c r="C271" t="str">
        <f>IF(OPEB!B30="","",OPEB!B30)</f>
        <v/>
      </c>
      <c r="D271" t="s">
        <v>248</v>
      </c>
      <c r="F271" t="str">
        <f>IF(OR(OPEB!B30="",OPEB!C30=""),"",OPEB!C30)</f>
        <v/>
      </c>
    </row>
    <row r="272" spans="1:7" x14ac:dyDescent="0.25">
      <c r="A272" t="s">
        <v>247</v>
      </c>
      <c r="B272" t="s">
        <v>279</v>
      </c>
      <c r="C272" t="str">
        <f>IF(OPEB!B30="","",OPEB!B30)</f>
        <v/>
      </c>
      <c r="D272" t="s">
        <v>249</v>
      </c>
      <c r="F272" t="str">
        <f>IF(OR(OPEB!B30="",OPEB!D30=""),"",OPEB!D30)</f>
        <v/>
      </c>
    </row>
    <row r="273" spans="1:6" x14ac:dyDescent="0.25">
      <c r="A273" t="s">
        <v>247</v>
      </c>
      <c r="B273" t="s">
        <v>279</v>
      </c>
      <c r="C273" t="str">
        <f>IF(OPEB!B31="","",OPEB!B31)</f>
        <v/>
      </c>
      <c r="D273" t="s">
        <v>248</v>
      </c>
      <c r="F273" t="str">
        <f>IF(OR(OPEB!B31="",OPEB!C31=""),"",OPEB!C31)</f>
        <v/>
      </c>
    </row>
    <row r="274" spans="1:6" x14ac:dyDescent="0.25">
      <c r="A274" t="s">
        <v>247</v>
      </c>
      <c r="B274" t="s">
        <v>279</v>
      </c>
      <c r="C274" t="str">
        <f>IF(OPEB!B31="","",OPEB!B31)</f>
        <v/>
      </c>
      <c r="D274" t="s">
        <v>249</v>
      </c>
      <c r="F274" t="str">
        <f>IF(OR(OPEB!B31="",OPEB!D31=""),"",OPEB!D31)</f>
        <v/>
      </c>
    </row>
    <row r="275" spans="1:6" x14ac:dyDescent="0.25">
      <c r="A275" t="s">
        <v>247</v>
      </c>
      <c r="B275" t="s">
        <v>279</v>
      </c>
      <c r="C275" t="str">
        <f>IF(OPEB!B32="","",OPEB!B32)</f>
        <v/>
      </c>
      <c r="D275" t="s">
        <v>248</v>
      </c>
      <c r="F275" t="str">
        <f>IF(OR(OPEB!B32="",OPEB!C32=""),"",OPEB!C32)</f>
        <v/>
      </c>
    </row>
    <row r="276" spans="1:6" x14ac:dyDescent="0.25">
      <c r="A276" t="s">
        <v>247</v>
      </c>
      <c r="B276" t="s">
        <v>279</v>
      </c>
      <c r="C276" t="str">
        <f>IF(OPEB!B32="","",OPEB!B32)</f>
        <v/>
      </c>
      <c r="D276" t="s">
        <v>249</v>
      </c>
      <c r="F276" t="str">
        <f>IF(OR(OPEB!B32="",OPEB!D32=""),"",OPEB!D32)</f>
        <v/>
      </c>
    </row>
    <row r="277" spans="1:6" x14ac:dyDescent="0.25">
      <c r="A277" t="s">
        <v>247</v>
      </c>
      <c r="B277" t="s">
        <v>279</v>
      </c>
      <c r="C277" t="str">
        <f>IF(OPEB!B33="","",OPEB!B33)</f>
        <v/>
      </c>
      <c r="D277" t="s">
        <v>248</v>
      </c>
      <c r="F277" t="str">
        <f>IF(OR(OPEB!B33="",OPEB!C33=""),"",OPEB!C33)</f>
        <v/>
      </c>
    </row>
    <row r="278" spans="1:6" x14ac:dyDescent="0.25">
      <c r="A278" t="s">
        <v>247</v>
      </c>
      <c r="B278" t="s">
        <v>279</v>
      </c>
      <c r="C278" t="str">
        <f>IF(OPEB!B33="","",OPEB!B33)</f>
        <v/>
      </c>
      <c r="D278" t="s">
        <v>249</v>
      </c>
      <c r="F278" t="str">
        <f>IF(OR(OPEB!B33="",OPEB!D33=""),"",OPEB!D33)</f>
        <v/>
      </c>
    </row>
    <row r="279" spans="1:6" x14ac:dyDescent="0.25">
      <c r="A279" t="s">
        <v>250</v>
      </c>
      <c r="B279" t="s">
        <v>279</v>
      </c>
      <c r="C279" t="s">
        <v>251</v>
      </c>
      <c r="D279" t="s">
        <v>252</v>
      </c>
      <c r="F279">
        <f>IF(OPEB!C36="","",OPEB!C36)</f>
        <v>3</v>
      </c>
    </row>
    <row r="280" spans="1:6" x14ac:dyDescent="0.25">
      <c r="A280" t="s">
        <v>250</v>
      </c>
      <c r="B280" t="s">
        <v>279</v>
      </c>
      <c r="C280" t="s">
        <v>253</v>
      </c>
      <c r="D280" t="s">
        <v>252</v>
      </c>
      <c r="F280">
        <f>IF(OPEB!C37="","",OPEB!C37)</f>
        <v>2</v>
      </c>
    </row>
    <row r="281" spans="1:6" x14ac:dyDescent="0.25">
      <c r="A281" t="s">
        <v>250</v>
      </c>
      <c r="B281" t="s">
        <v>279</v>
      </c>
      <c r="C281" t="s">
        <v>254</v>
      </c>
      <c r="D281" t="s">
        <v>252</v>
      </c>
      <c r="F281">
        <f>IF(OPEB!C38="","",OPEB!C38)</f>
        <v>2</v>
      </c>
    </row>
    <row r="282" spans="1:6" x14ac:dyDescent="0.25">
      <c r="A282" t="s">
        <v>250</v>
      </c>
      <c r="B282" t="s">
        <v>279</v>
      </c>
      <c r="C282" t="s">
        <v>255</v>
      </c>
      <c r="D282" t="s">
        <v>252</v>
      </c>
      <c r="F282">
        <f>IF(OPEB!C39="","",OPEB!C39)</f>
        <v>5</v>
      </c>
    </row>
    <row r="283" spans="1:6" x14ac:dyDescent="0.25">
      <c r="A283" t="s">
        <v>250</v>
      </c>
      <c r="B283" t="s">
        <v>279</v>
      </c>
      <c r="C283" t="s">
        <v>256</v>
      </c>
      <c r="D283" t="s">
        <v>252</v>
      </c>
      <c r="F283">
        <f>IF(OPEB!C40="","",OPEB!C40)</f>
        <v>9</v>
      </c>
    </row>
    <row r="284" spans="1:6" x14ac:dyDescent="0.25">
      <c r="A284" t="s">
        <v>250</v>
      </c>
      <c r="B284" t="s">
        <v>279</v>
      </c>
      <c r="C284" t="s">
        <v>257</v>
      </c>
      <c r="D284" t="s">
        <v>252</v>
      </c>
      <c r="F284">
        <f>IF(OPEB!C41="","",OPEB!C41)</f>
        <v>8</v>
      </c>
    </row>
    <row r="285" spans="1:6" x14ac:dyDescent="0.25">
      <c r="A285" t="s">
        <v>250</v>
      </c>
      <c r="B285" t="s">
        <v>279</v>
      </c>
      <c r="C285" t="s">
        <v>258</v>
      </c>
      <c r="D285" t="s">
        <v>252</v>
      </c>
      <c r="F285">
        <f>IF(OPEB!C42="","",OPEB!C42)</f>
        <v>5</v>
      </c>
    </row>
    <row r="286" spans="1:6" x14ac:dyDescent="0.25">
      <c r="A286" t="s">
        <v>250</v>
      </c>
      <c r="B286" t="s">
        <v>279</v>
      </c>
      <c r="C286" t="s">
        <v>259</v>
      </c>
      <c r="D286" t="s">
        <v>252</v>
      </c>
      <c r="F286">
        <f>IF(OPEB!C43="","",OPEB!C43)</f>
        <v>18</v>
      </c>
    </row>
    <row r="287" spans="1:6" x14ac:dyDescent="0.25">
      <c r="A287" t="s">
        <v>250</v>
      </c>
      <c r="B287" t="s">
        <v>279</v>
      </c>
      <c r="C287" t="s">
        <v>260</v>
      </c>
      <c r="D287" t="s">
        <v>252</v>
      </c>
      <c r="F287">
        <f>IF(OPEB!C44="","",OPEB!C44)</f>
        <v>31</v>
      </c>
    </row>
    <row r="288" spans="1:6" x14ac:dyDescent="0.25">
      <c r="A288" t="s">
        <v>250</v>
      </c>
      <c r="B288" t="s">
        <v>279</v>
      </c>
      <c r="C288" t="s">
        <v>261</v>
      </c>
      <c r="D288" t="s">
        <v>252</v>
      </c>
      <c r="F288">
        <f>IF(OPEB!C45="","",OPEB!C45)</f>
        <v>15</v>
      </c>
    </row>
    <row r="289" spans="1:7" x14ac:dyDescent="0.25">
      <c r="A289" t="s">
        <v>250</v>
      </c>
      <c r="B289" t="s">
        <v>279</v>
      </c>
      <c r="C289" t="s">
        <v>262</v>
      </c>
      <c r="D289" t="s">
        <v>252</v>
      </c>
      <c r="F289">
        <f>IF(OPEB!C46="","",OPEB!C46)</f>
        <v>10</v>
      </c>
    </row>
    <row r="290" spans="1:7" x14ac:dyDescent="0.25">
      <c r="A290" t="s">
        <v>250</v>
      </c>
      <c r="B290" t="s">
        <v>279</v>
      </c>
      <c r="C290" t="s">
        <v>263</v>
      </c>
      <c r="D290" t="s">
        <v>252</v>
      </c>
      <c r="F290">
        <f>IF(OPEB!C47="","",OPEB!C47)</f>
        <v>4</v>
      </c>
    </row>
    <row r="291" spans="1:7" x14ac:dyDescent="0.25">
      <c r="A291" t="s">
        <v>250</v>
      </c>
      <c r="B291" t="s">
        <v>279</v>
      </c>
      <c r="C291" t="s">
        <v>264</v>
      </c>
      <c r="D291" t="s">
        <v>252</v>
      </c>
      <c r="F291">
        <f>IF(OPEB!C48="","",OPEB!C48)</f>
        <v>3</v>
      </c>
    </row>
    <row r="292" spans="1:7" x14ac:dyDescent="0.25">
      <c r="A292" t="s">
        <v>250</v>
      </c>
      <c r="B292" t="s">
        <v>279</v>
      </c>
      <c r="C292" t="s">
        <v>265</v>
      </c>
      <c r="D292" t="s">
        <v>252</v>
      </c>
      <c r="F292">
        <f>IF(OPEB!C49="","",OPEB!C49)</f>
        <v>5</v>
      </c>
    </row>
    <row r="293" spans="1:7" x14ac:dyDescent="0.25">
      <c r="A293" t="s">
        <v>250</v>
      </c>
      <c r="B293" t="s">
        <v>279</v>
      </c>
      <c r="C293" t="s">
        <v>266</v>
      </c>
      <c r="D293" t="s">
        <v>267</v>
      </c>
      <c r="F293">
        <f>IF(OPEB!C51="","",OPEB!C51)</f>
        <v>0.81</v>
      </c>
    </row>
    <row r="294" spans="1:7" x14ac:dyDescent="0.25">
      <c r="A294" t="s">
        <v>250</v>
      </c>
      <c r="B294" t="s">
        <v>279</v>
      </c>
      <c r="C294" t="s">
        <v>266</v>
      </c>
      <c r="D294" t="s">
        <v>268</v>
      </c>
      <c r="F294">
        <f>IF(OPEB!C52="","",OPEB!C52)</f>
        <v>0.55000000000000004</v>
      </c>
    </row>
    <row r="295" spans="1:7" x14ac:dyDescent="0.25">
      <c r="A295" t="s">
        <v>250</v>
      </c>
      <c r="B295" t="s">
        <v>279</v>
      </c>
      <c r="C295" t="s">
        <v>266</v>
      </c>
      <c r="D295" t="s">
        <v>269</v>
      </c>
      <c r="F295">
        <f>IF(OPEB!C53="","",OPEB!C53)</f>
        <v>3.11</v>
      </c>
    </row>
    <row r="296" spans="1:7" x14ac:dyDescent="0.25">
      <c r="A296" t="s">
        <v>250</v>
      </c>
      <c r="B296" t="s">
        <v>279</v>
      </c>
      <c r="C296" t="s">
        <v>266</v>
      </c>
      <c r="D296" t="s">
        <v>270</v>
      </c>
      <c r="F296">
        <f>IF(OPEB!C54="","",OPEB!C54)</f>
        <v>-12.2</v>
      </c>
    </row>
    <row r="297" spans="1:7" x14ac:dyDescent="0.25">
      <c r="A297" t="s">
        <v>250</v>
      </c>
      <c r="B297" t="s">
        <v>279</v>
      </c>
      <c r="C297" t="s">
        <v>266</v>
      </c>
      <c r="D297" t="s">
        <v>271</v>
      </c>
      <c r="F297">
        <f>IF(OPEB!C55="","",OPEB!C55)</f>
        <v>8.6</v>
      </c>
    </row>
    <row r="298" spans="1:7" x14ac:dyDescent="0.25">
      <c r="A298" t="s">
        <v>250</v>
      </c>
      <c r="B298" t="s">
        <v>279</v>
      </c>
      <c r="C298" t="s">
        <v>266</v>
      </c>
      <c r="D298" t="s">
        <v>272</v>
      </c>
      <c r="F298">
        <f>IF(OPEB!C56="","",OPEB!C56)</f>
        <v>0.2</v>
      </c>
    </row>
    <row r="299" spans="1:7" x14ac:dyDescent="0.25">
      <c r="A299" t="s">
        <v>273</v>
      </c>
      <c r="B299" t="s">
        <v>279</v>
      </c>
      <c r="C299" t="s">
        <v>274</v>
      </c>
      <c r="D299" t="s">
        <v>275</v>
      </c>
      <c r="F299">
        <f>IF(OPEB!C59="","",OPEB!C59)</f>
        <v>94</v>
      </c>
    </row>
    <row r="300" spans="1:7" x14ac:dyDescent="0.25">
      <c r="A300" t="s">
        <v>273</v>
      </c>
      <c r="B300" t="s">
        <v>279</v>
      </c>
      <c r="C300" t="s">
        <v>274</v>
      </c>
      <c r="D300" t="s">
        <v>276</v>
      </c>
      <c r="F300">
        <f>IF(OPEB!D59="","",OPEB!D59)</f>
        <v>26</v>
      </c>
    </row>
    <row r="301" spans="1:7" x14ac:dyDescent="0.25">
      <c r="A301" t="s">
        <v>273</v>
      </c>
      <c r="B301" t="s">
        <v>279</v>
      </c>
      <c r="C301" t="s">
        <v>277</v>
      </c>
      <c r="D301" t="s">
        <v>275</v>
      </c>
      <c r="F301">
        <f>IF(OPEB!C60="","",OPEB!C60)</f>
        <v>6</v>
      </c>
    </row>
    <row r="302" spans="1:7" x14ac:dyDescent="0.25">
      <c r="A302" t="s">
        <v>273</v>
      </c>
      <c r="B302" t="s">
        <v>279</v>
      </c>
      <c r="C302" t="s">
        <v>277</v>
      </c>
      <c r="D302" t="s">
        <v>276</v>
      </c>
      <c r="F302">
        <f>IF(OPEB!D60="","",OPEB!D60)</f>
        <v>35</v>
      </c>
    </row>
    <row r="303" spans="1:7" x14ac:dyDescent="0.25">
      <c r="A303" t="s">
        <v>273</v>
      </c>
      <c r="B303" t="s">
        <v>279</v>
      </c>
      <c r="C303" t="s">
        <v>229</v>
      </c>
      <c r="D303" t="s">
        <v>276</v>
      </c>
      <c r="F303">
        <f>IF(OPEB!D61="","",OPEB!D61)</f>
        <v>61</v>
      </c>
    </row>
    <row r="304" spans="1:7" x14ac:dyDescent="0.25">
      <c r="A304" t="s">
        <v>278</v>
      </c>
      <c r="B304" t="s">
        <v>279</v>
      </c>
      <c r="C304" t="str">
        <f>IF(OPEB!B63="","",OPEB!B63)</f>
        <v>United States</v>
      </c>
      <c r="D304" t="s">
        <v>275</v>
      </c>
      <c r="F304">
        <f>IF(OR(OPEB!B63="",OPEB!C63=""),"",OPEB!C63)</f>
        <v>79.599999999999994</v>
      </c>
      <c r="G304" t="str">
        <f>IF(OPEB!B63="","","dm")</f>
        <v>dm</v>
      </c>
    </row>
    <row r="305" spans="1:7" x14ac:dyDescent="0.25">
      <c r="A305" t="s">
        <v>278</v>
      </c>
      <c r="B305" t="s">
        <v>279</v>
      </c>
      <c r="C305" t="str">
        <f>IF(OPEB!B64="","",OPEB!B64)</f>
        <v>Japan</v>
      </c>
      <c r="D305" t="s">
        <v>275</v>
      </c>
      <c r="F305">
        <f>IF(OR(OPEB!B64="",OPEB!C64=""),"",OPEB!C64)</f>
        <v>2.7</v>
      </c>
      <c r="G305" t="str">
        <f>IF(OPEB!B64="","","dm")</f>
        <v>dm</v>
      </c>
    </row>
    <row r="306" spans="1:7" x14ac:dyDescent="0.25">
      <c r="A306" t="s">
        <v>278</v>
      </c>
      <c r="B306" t="s">
        <v>279</v>
      </c>
      <c r="C306" t="str">
        <f>IF(OPEB!B65="","",OPEB!B65)</f>
        <v>Canada</v>
      </c>
      <c r="D306" t="s">
        <v>275</v>
      </c>
      <c r="F306">
        <f>IF(OR(OPEB!B65="",OPEB!C65=""),"",OPEB!C65)</f>
        <v>2.2999999999999998</v>
      </c>
      <c r="G306" t="str">
        <f>IF(OPEB!B65="","","dm")</f>
        <v>dm</v>
      </c>
    </row>
    <row r="307" spans="1:7" x14ac:dyDescent="0.25">
      <c r="A307" t="s">
        <v>278</v>
      </c>
      <c r="B307" t="s">
        <v>279</v>
      </c>
      <c r="C307" t="str">
        <f>IF(OPEB!B66="","",OPEB!B66)</f>
        <v>United Kingdom</v>
      </c>
      <c r="D307" t="s">
        <v>275</v>
      </c>
      <c r="F307">
        <f>IF(OR(OPEB!B66="",OPEB!C66=""),"",OPEB!C66)</f>
        <v>2</v>
      </c>
      <c r="G307" t="str">
        <f>IF(OPEB!B66="","","dm")</f>
        <v>dm</v>
      </c>
    </row>
    <row r="308" spans="1:7" x14ac:dyDescent="0.25">
      <c r="A308" t="s">
        <v>278</v>
      </c>
      <c r="B308" t="s">
        <v>279</v>
      </c>
      <c r="C308" t="str">
        <f>IF(OPEB!B67="","",OPEB!B67)</f>
        <v>France</v>
      </c>
      <c r="D308" t="s">
        <v>275</v>
      </c>
      <c r="F308">
        <f>IF(OR(OPEB!B67="",OPEB!C67=""),"",OPEB!C67)</f>
        <v>1</v>
      </c>
      <c r="G308" t="str">
        <f>IF(OPEB!B67="","","dm")</f>
        <v>dm</v>
      </c>
    </row>
    <row r="309" spans="1:7" x14ac:dyDescent="0.25">
      <c r="A309" t="s">
        <v>278</v>
      </c>
      <c r="B309" t="s">
        <v>279</v>
      </c>
      <c r="C309" t="str">
        <f>IF(OPEB!B69="","",OPEB!B69)</f>
        <v>Taiwan</v>
      </c>
      <c r="D309" t="s">
        <v>275</v>
      </c>
      <c r="F309">
        <f>IF(OR(OPEB!B69="",OPEB!C69=""),"",OPEB!C69)</f>
        <v>1.6</v>
      </c>
      <c r="G309" t="str">
        <f>IF(OPEB!B69="","","em")</f>
        <v>em</v>
      </c>
    </row>
    <row r="310" spans="1:7" x14ac:dyDescent="0.25">
      <c r="A310" t="s">
        <v>278</v>
      </c>
      <c r="B310" t="s">
        <v>279</v>
      </c>
      <c r="C310" t="str">
        <f>IF(OPEB!B70="","",OPEB!B70)</f>
        <v>South Korea</v>
      </c>
      <c r="D310" t="s">
        <v>275</v>
      </c>
      <c r="F310">
        <f>IF(OR(OPEB!B70="",OPEB!C70=""),"",OPEB!C70)</f>
        <v>1.3</v>
      </c>
      <c r="G310" t="str">
        <f>IF(OPEB!B70="","","em")</f>
        <v>em</v>
      </c>
    </row>
    <row r="311" spans="1:7" x14ac:dyDescent="0.25">
      <c r="A311" t="s">
        <v>278</v>
      </c>
      <c r="B311" t="s">
        <v>279</v>
      </c>
      <c r="C311" t="str">
        <f>IF(OPEB!B71="","",OPEB!B71)</f>
        <v>China</v>
      </c>
      <c r="D311" t="s">
        <v>275</v>
      </c>
      <c r="F311">
        <f>IF(OR(OPEB!B71="",OPEB!C71=""),"",OPEB!C71)</f>
        <v>1</v>
      </c>
      <c r="G311" t="str">
        <f>IF(OPEB!B71="","","em")</f>
        <v>em</v>
      </c>
    </row>
    <row r="312" spans="1:7" x14ac:dyDescent="0.25">
      <c r="A312" t="s">
        <v>278</v>
      </c>
      <c r="B312" t="s">
        <v>279</v>
      </c>
      <c r="C312" t="str">
        <f>IF(OPEB!B72="","",OPEB!B72)</f>
        <v>India</v>
      </c>
      <c r="D312" t="s">
        <v>275</v>
      </c>
      <c r="F312">
        <f>IF(OR(OPEB!B72="",OPEB!C72=""),"",OPEB!C72)</f>
        <v>0.7</v>
      </c>
      <c r="G312" t="str">
        <f>IF(OPEB!B72="","","em")</f>
        <v>em</v>
      </c>
    </row>
    <row r="313" spans="1:7" x14ac:dyDescent="0.25">
      <c r="A313" t="s">
        <v>278</v>
      </c>
      <c r="B313" t="s">
        <v>279</v>
      </c>
      <c r="C313" t="str">
        <f>IF(OPEB!B73="","",OPEB!B73)</f>
        <v>Brazil</v>
      </c>
      <c r="D313" t="s">
        <v>275</v>
      </c>
      <c r="F313">
        <f>IF(OR(OPEB!B73="",OPEB!C73=""),"",OPEB!C73)</f>
        <v>0.2</v>
      </c>
      <c r="G313" t="str">
        <f>IF(OPEB!B73="","","em")</f>
        <v>em</v>
      </c>
    </row>
    <row r="314" spans="1:7" x14ac:dyDescent="0.25">
      <c r="A314" t="s">
        <v>280</v>
      </c>
      <c r="C314" t="str">
        <f>IF(Markets!B5="","",Markets!B5)</f>
        <v>60:40 Equity:Bond</v>
      </c>
      <c r="D314" t="s">
        <v>281</v>
      </c>
      <c r="G314" t="str">
        <f>IF(Markets!B5="","",Markets!A5)</f>
        <v>Reference portfolio</v>
      </c>
    </row>
    <row r="315" spans="1:7" x14ac:dyDescent="0.25">
      <c r="A315" t="s">
        <v>280</v>
      </c>
      <c r="C315" t="str">
        <f>IF(Markets!B5="","",Markets!B5)</f>
        <v>60:40 Equity:Bond</v>
      </c>
      <c r="D315" t="s">
        <v>282</v>
      </c>
      <c r="G315" t="str">
        <f>IF(Markets!B5="","",Markets!C5)</f>
        <v>60% MSCI ACWI IMI / 40% Bloomberg U.S. Aggregate</v>
      </c>
    </row>
    <row r="316" spans="1:7" x14ac:dyDescent="0.25">
      <c r="A316" t="s">
        <v>280</v>
      </c>
      <c r="C316" t="str">
        <f>IF(Markets!B5="","",Markets!B5)</f>
        <v>60:40 Equity:Bond</v>
      </c>
      <c r="D316" t="s">
        <v>234</v>
      </c>
      <c r="E316" t="s">
        <v>22</v>
      </c>
      <c r="F316">
        <f>IF(OR(Markets!B5="",Markets!D5=""),"",Markets!D5)</f>
        <v>-0.7</v>
      </c>
    </row>
    <row r="317" spans="1:7" x14ac:dyDescent="0.25">
      <c r="A317" t="s">
        <v>280</v>
      </c>
      <c r="C317" t="str">
        <f>IF(Markets!B5="","",Markets!B5)</f>
        <v>60:40 Equity:Bond</v>
      </c>
      <c r="D317" t="s">
        <v>234</v>
      </c>
      <c r="E317" t="s">
        <v>23</v>
      </c>
      <c r="F317">
        <f>IF(OR(Markets!B5="",Markets!E5=""),"",Markets!E5)</f>
        <v>2.2000000000000002</v>
      </c>
    </row>
    <row r="318" spans="1:7" x14ac:dyDescent="0.25">
      <c r="A318" t="s">
        <v>280</v>
      </c>
      <c r="C318" t="str">
        <f>IF(Markets!B5="","",Markets!B5)</f>
        <v>60:40 Equity:Bond</v>
      </c>
      <c r="D318" t="s">
        <v>234</v>
      </c>
      <c r="E318" t="s">
        <v>24</v>
      </c>
      <c r="F318">
        <f>IF(OR(Markets!B5="",Markets!F5=""),"",Markets!F5)</f>
        <v>-0.7</v>
      </c>
    </row>
    <row r="319" spans="1:7" x14ac:dyDescent="0.25">
      <c r="A319" t="s">
        <v>280</v>
      </c>
      <c r="C319" t="str">
        <f>IF(Markets!B5="","",Markets!B5)</f>
        <v>60:40 Equity:Bond</v>
      </c>
      <c r="D319" t="s">
        <v>234</v>
      </c>
      <c r="E319" t="s">
        <v>25</v>
      </c>
      <c r="F319">
        <f>IF(OR(Markets!B5="",Markets!G5=""),"",Markets!G5)</f>
        <v>6.6</v>
      </c>
    </row>
    <row r="320" spans="1:7" x14ac:dyDescent="0.25">
      <c r="A320" t="s">
        <v>280</v>
      </c>
      <c r="C320" t="str">
        <f>IF(Markets!B5="","",Markets!B5)</f>
        <v>60:40 Equity:Bond</v>
      </c>
      <c r="D320" t="s">
        <v>234</v>
      </c>
      <c r="E320" t="s">
        <v>26</v>
      </c>
      <c r="F320">
        <f>IF(OR(Markets!B5="",Markets!H5=""),"",Markets!H5)</f>
        <v>14.3</v>
      </c>
    </row>
    <row r="321" spans="1:7" x14ac:dyDescent="0.25">
      <c r="A321" t="s">
        <v>280</v>
      </c>
      <c r="C321" t="str">
        <f>IF(Markets!B5="","",Markets!B5)</f>
        <v>60:40 Equity:Bond</v>
      </c>
      <c r="D321" t="s">
        <v>234</v>
      </c>
      <c r="E321" t="s">
        <v>27</v>
      </c>
      <c r="F321">
        <f>IF(OR(Markets!B5="",Markets!I5=""),"",Markets!I5)</f>
        <v>12.1</v>
      </c>
    </row>
    <row r="322" spans="1:7" x14ac:dyDescent="0.25">
      <c r="A322" t="s">
        <v>280</v>
      </c>
      <c r="C322" t="str">
        <f>IF(Markets!B5="","",Markets!B5)</f>
        <v>60:40 Equity:Bond</v>
      </c>
      <c r="D322" t="s">
        <v>234</v>
      </c>
      <c r="E322" t="s">
        <v>28</v>
      </c>
      <c r="F322">
        <f>IF(OR(Markets!B5="",Markets!J5=""),"",Markets!J5)</f>
        <v>6.1</v>
      </c>
    </row>
    <row r="323" spans="1:7" x14ac:dyDescent="0.25">
      <c r="A323" t="s">
        <v>280</v>
      </c>
      <c r="C323" t="str">
        <f>IF(Markets!B5="","",Markets!B5)</f>
        <v>60:40 Equity:Bond</v>
      </c>
      <c r="D323" t="s">
        <v>234</v>
      </c>
      <c r="E323" t="s">
        <v>29</v>
      </c>
      <c r="F323">
        <f>IF(OR(Markets!B5="",Markets!K5=""),"",Markets!K5)</f>
        <v>7.9</v>
      </c>
    </row>
    <row r="324" spans="1:7" x14ac:dyDescent="0.25">
      <c r="A324" t="s">
        <v>280</v>
      </c>
      <c r="C324" t="str">
        <f>IF(Markets!B6="","",Markets!B6)</f>
        <v>U.S. Large Cap</v>
      </c>
      <c r="D324" t="s">
        <v>281</v>
      </c>
      <c r="G324" t="str">
        <f>IF(Markets!B6="","",Markets!A6)</f>
        <v>Global equity</v>
      </c>
    </row>
    <row r="325" spans="1:7" x14ac:dyDescent="0.25">
      <c r="A325" t="s">
        <v>280</v>
      </c>
      <c r="C325" t="str">
        <f>IF(Markets!B6="","",Markets!B6)</f>
        <v>U.S. Large Cap</v>
      </c>
      <c r="D325" t="s">
        <v>282</v>
      </c>
      <c r="G325" t="str">
        <f>IF(Markets!B6="","",Markets!C6)</f>
        <v>S&amp;P 500 Total Return</v>
      </c>
    </row>
    <row r="326" spans="1:7" x14ac:dyDescent="0.25">
      <c r="A326" t="s">
        <v>280</v>
      </c>
      <c r="C326" t="str">
        <f>IF(Markets!B6="","",Markets!B6)</f>
        <v>U.S. Large Cap</v>
      </c>
      <c r="D326" t="s">
        <v>234</v>
      </c>
      <c r="E326" t="s">
        <v>22</v>
      </c>
      <c r="F326">
        <f>IF(OR(Markets!B6="",Markets!D6=""),"",Markets!D6)</f>
        <v>-0.1</v>
      </c>
    </row>
    <row r="327" spans="1:7" x14ac:dyDescent="0.25">
      <c r="A327" t="s">
        <v>280</v>
      </c>
      <c r="C327" t="str">
        <f>IF(Markets!B6="","",Markets!B6)</f>
        <v>U.S. Large Cap</v>
      </c>
      <c r="D327" t="s">
        <v>234</v>
      </c>
      <c r="E327" t="s">
        <v>23</v>
      </c>
      <c r="F327">
        <f>IF(OR(Markets!B6="",Markets!E6=""),"",Markets!E6)</f>
        <v>4.2</v>
      </c>
    </row>
    <row r="328" spans="1:7" x14ac:dyDescent="0.25">
      <c r="A328" t="s">
        <v>280</v>
      </c>
      <c r="C328" t="str">
        <f>IF(Markets!B6="","",Markets!B6)</f>
        <v>U.S. Large Cap</v>
      </c>
      <c r="D328" t="s">
        <v>234</v>
      </c>
      <c r="E328" t="s">
        <v>24</v>
      </c>
      <c r="F328">
        <f>IF(OR(Markets!B6="",Markets!F6=""),"",Markets!F6)</f>
        <v>-0.1</v>
      </c>
    </row>
    <row r="329" spans="1:7" x14ac:dyDescent="0.25">
      <c r="A329" t="s">
        <v>280</v>
      </c>
      <c r="C329" t="str">
        <f>IF(Markets!B6="","",Markets!B6)</f>
        <v>U.S. Large Cap</v>
      </c>
      <c r="D329" t="s">
        <v>234</v>
      </c>
      <c r="E329" t="s">
        <v>25</v>
      </c>
      <c r="F329">
        <f>IF(OR(Markets!B6="",Markets!G6=""),"",Markets!G6)</f>
        <v>10.1</v>
      </c>
    </row>
    <row r="330" spans="1:7" x14ac:dyDescent="0.25">
      <c r="A330" t="s">
        <v>280</v>
      </c>
      <c r="C330" t="str">
        <f>IF(Markets!B6="","",Markets!B6)</f>
        <v>U.S. Large Cap</v>
      </c>
      <c r="D330" t="s">
        <v>234</v>
      </c>
      <c r="E330" t="s">
        <v>26</v>
      </c>
      <c r="F330">
        <f>IF(OR(Markets!B6="",Markets!H6=""),"",Markets!H6)</f>
        <v>19.600000000000001</v>
      </c>
    </row>
    <row r="331" spans="1:7" x14ac:dyDescent="0.25">
      <c r="A331" t="s">
        <v>280</v>
      </c>
      <c r="C331" t="str">
        <f>IF(Markets!B6="","",Markets!B6)</f>
        <v>U.S. Large Cap</v>
      </c>
      <c r="D331" t="s">
        <v>234</v>
      </c>
      <c r="E331" t="s">
        <v>27</v>
      </c>
      <c r="F331">
        <f>IF(OR(Markets!B6="",Markets!I6=""),"",Markets!I6)</f>
        <v>19.3</v>
      </c>
    </row>
    <row r="332" spans="1:7" x14ac:dyDescent="0.25">
      <c r="A332" t="s">
        <v>280</v>
      </c>
      <c r="C332" t="str">
        <f>IF(Markets!B6="","",Markets!B6)</f>
        <v>U.S. Large Cap</v>
      </c>
      <c r="D332" t="s">
        <v>234</v>
      </c>
      <c r="E332" t="s">
        <v>28</v>
      </c>
      <c r="F332">
        <f>IF(OR(Markets!B6="",Markets!J6=""),"",Markets!J6)</f>
        <v>12.9</v>
      </c>
    </row>
    <row r="333" spans="1:7" x14ac:dyDescent="0.25">
      <c r="A333" t="s">
        <v>280</v>
      </c>
      <c r="C333" t="str">
        <f>IF(Markets!B6="","",Markets!B6)</f>
        <v>U.S. Large Cap</v>
      </c>
      <c r="D333" t="s">
        <v>234</v>
      </c>
      <c r="E333" t="s">
        <v>29</v>
      </c>
      <c r="F333">
        <f>IF(OR(Markets!B6="",Markets!K6=""),"",Markets!K6)</f>
        <v>15.1</v>
      </c>
    </row>
    <row r="334" spans="1:7" x14ac:dyDescent="0.25">
      <c r="A334" t="s">
        <v>280</v>
      </c>
      <c r="C334" t="str">
        <f>IF(Markets!B7="","",Markets!B7)</f>
        <v>U.S. Small Cap</v>
      </c>
      <c r="D334" t="s">
        <v>281</v>
      </c>
      <c r="G334" t="str">
        <f>IF(Markets!B7="","",Markets!A7)</f>
        <v>Global equity</v>
      </c>
    </row>
    <row r="335" spans="1:7" x14ac:dyDescent="0.25">
      <c r="A335" t="s">
        <v>280</v>
      </c>
      <c r="C335" t="str">
        <f>IF(Markets!B7="","",Markets!B7)</f>
        <v>U.S. Small Cap</v>
      </c>
      <c r="D335" t="s">
        <v>282</v>
      </c>
      <c r="G335" t="str">
        <f>IF(Markets!B7="","",Markets!C7)</f>
        <v>Russell 2000 Total Return</v>
      </c>
    </row>
    <row r="336" spans="1:7" x14ac:dyDescent="0.25">
      <c r="A336" t="s">
        <v>280</v>
      </c>
      <c r="C336" t="str">
        <f>IF(Markets!B7="","",Markets!B7)</f>
        <v>U.S. Small Cap</v>
      </c>
      <c r="D336" t="s">
        <v>234</v>
      </c>
      <c r="E336" t="s">
        <v>22</v>
      </c>
      <c r="F336">
        <f>IF(OR(Markets!B7="",Markets!D7=""),"",Markets!D7)</f>
        <v>-3</v>
      </c>
    </row>
    <row r="337" spans="1:7" x14ac:dyDescent="0.25">
      <c r="A337" t="s">
        <v>280</v>
      </c>
      <c r="C337" t="str">
        <f>IF(Markets!B7="","",Markets!B7)</f>
        <v>U.S. Small Cap</v>
      </c>
      <c r="D337" t="s">
        <v>234</v>
      </c>
      <c r="E337" t="s">
        <v>23</v>
      </c>
      <c r="F337">
        <f>IF(OR(Markets!B7="",Markets!E7=""),"",Markets!E7)</f>
        <v>5</v>
      </c>
    </row>
    <row r="338" spans="1:7" x14ac:dyDescent="0.25">
      <c r="A338" t="s">
        <v>280</v>
      </c>
      <c r="C338" t="str">
        <f>IF(Markets!B7="","",Markets!B7)</f>
        <v>U.S. Small Cap</v>
      </c>
      <c r="D338" t="s">
        <v>234</v>
      </c>
      <c r="E338" t="s">
        <v>24</v>
      </c>
      <c r="F338">
        <f>IF(OR(Markets!B7="",Markets!F7=""),"",Markets!F7)</f>
        <v>-3</v>
      </c>
    </row>
    <row r="339" spans="1:7" x14ac:dyDescent="0.25">
      <c r="A339" t="s">
        <v>280</v>
      </c>
      <c r="C339" t="str">
        <f>IF(Markets!B7="","",Markets!B7)</f>
        <v>U.S. Small Cap</v>
      </c>
      <c r="D339" t="s">
        <v>234</v>
      </c>
      <c r="E339" t="s">
        <v>25</v>
      </c>
      <c r="F339">
        <f>IF(OR(Markets!B7="",Markets!G7=""),"",Markets!G7)</f>
        <v>18.899999999999999</v>
      </c>
    </row>
    <row r="340" spans="1:7" x14ac:dyDescent="0.25">
      <c r="A340" t="s">
        <v>280</v>
      </c>
      <c r="C340" t="str">
        <f>IF(Markets!B7="","",Markets!B7)</f>
        <v>U.S. Small Cap</v>
      </c>
      <c r="D340" t="s">
        <v>234</v>
      </c>
      <c r="E340" t="s">
        <v>26</v>
      </c>
      <c r="F340">
        <f>IF(OR(Markets!B7="",Markets!H7=""),"",Markets!H7)</f>
        <v>34.200000000000003</v>
      </c>
    </row>
    <row r="341" spans="1:7" x14ac:dyDescent="0.25">
      <c r="A341" t="s">
        <v>280</v>
      </c>
      <c r="C341" t="str">
        <f>IF(Markets!B7="","",Markets!B7)</f>
        <v>U.S. Small Cap</v>
      </c>
      <c r="D341" t="s">
        <v>234</v>
      </c>
      <c r="E341" t="s">
        <v>27</v>
      </c>
      <c r="F341">
        <f>IF(OR(Markets!B7="",Markets!I7=""),"",Markets!I7)</f>
        <v>15.1</v>
      </c>
    </row>
    <row r="342" spans="1:7" x14ac:dyDescent="0.25">
      <c r="A342" t="s">
        <v>280</v>
      </c>
      <c r="C342" t="str">
        <f>IF(Markets!B7="","",Markets!B7)</f>
        <v>U.S. Small Cap</v>
      </c>
      <c r="D342" t="s">
        <v>234</v>
      </c>
      <c r="E342" t="s">
        <v>28</v>
      </c>
      <c r="F342">
        <f>IF(OR(Markets!B7="",Markets!J7=""),"",Markets!J7)</f>
        <v>7.1</v>
      </c>
    </row>
    <row r="343" spans="1:7" x14ac:dyDescent="0.25">
      <c r="A343" t="s">
        <v>280</v>
      </c>
      <c r="C343" t="str">
        <f>IF(Markets!B7="","",Markets!B7)</f>
        <v>U.S. Small Cap</v>
      </c>
      <c r="D343" t="s">
        <v>234</v>
      </c>
      <c r="E343" t="s">
        <v>29</v>
      </c>
      <c r="F343">
        <f>IF(OR(Markets!B7="",Markets!K7=""),"",Markets!K7)</f>
        <v>10.6</v>
      </c>
    </row>
    <row r="344" spans="1:7" x14ac:dyDescent="0.25">
      <c r="A344" t="s">
        <v>280</v>
      </c>
      <c r="C344" t="str">
        <f>IF(Markets!B8="","",Markets!B8)</f>
        <v>Non-U.S. All Cap</v>
      </c>
      <c r="D344" t="s">
        <v>281</v>
      </c>
      <c r="G344" t="str">
        <f>IF(Markets!B8="","",Markets!A8)</f>
        <v>Global equity</v>
      </c>
    </row>
    <row r="345" spans="1:7" x14ac:dyDescent="0.25">
      <c r="A345" t="s">
        <v>280</v>
      </c>
      <c r="C345" t="str">
        <f>IF(Markets!B8="","",Markets!B8)</f>
        <v>Non-U.S. All Cap</v>
      </c>
      <c r="D345" t="s">
        <v>282</v>
      </c>
      <c r="G345" t="str">
        <f>IF(Markets!B8="","",Markets!C8)</f>
        <v>MSCI ACWI ex-U.S. IMI Total Return</v>
      </c>
    </row>
    <row r="346" spans="1:7" x14ac:dyDescent="0.25">
      <c r="A346" t="s">
        <v>280</v>
      </c>
      <c r="C346" t="str">
        <f>IF(Markets!B8="","",Markets!B8)</f>
        <v>Non-U.S. All Cap</v>
      </c>
      <c r="D346" t="s">
        <v>234</v>
      </c>
      <c r="E346" t="s">
        <v>22</v>
      </c>
      <c r="F346">
        <f>IF(OR(Markets!B8="",Markets!D8=""),"",Markets!D8)</f>
        <v>0.2</v>
      </c>
    </row>
    <row r="347" spans="1:7" x14ac:dyDescent="0.25">
      <c r="A347" t="s">
        <v>280</v>
      </c>
      <c r="C347" t="str">
        <f>IF(Markets!B8="","",Markets!B8)</f>
        <v>Non-U.S. All Cap</v>
      </c>
      <c r="D347" t="s">
        <v>234</v>
      </c>
      <c r="E347" t="s">
        <v>23</v>
      </c>
      <c r="F347">
        <f>IF(OR(Markets!B8="",Markets!E8=""),"",Markets!E8)</f>
        <v>4</v>
      </c>
    </row>
    <row r="348" spans="1:7" x14ac:dyDescent="0.25">
      <c r="A348" t="s">
        <v>280</v>
      </c>
      <c r="C348" t="str">
        <f>IF(Markets!B8="","",Markets!B8)</f>
        <v>Non-U.S. All Cap</v>
      </c>
      <c r="D348" t="s">
        <v>234</v>
      </c>
      <c r="E348" t="s">
        <v>24</v>
      </c>
      <c r="F348">
        <f>IF(OR(Markets!B8="",Markets!F8=""),"",Markets!F8)</f>
        <v>0.2</v>
      </c>
    </row>
    <row r="349" spans="1:7" x14ac:dyDescent="0.25">
      <c r="A349" t="s">
        <v>280</v>
      </c>
      <c r="C349" t="str">
        <f>IF(Markets!B8="","",Markets!B8)</f>
        <v>Non-U.S. All Cap</v>
      </c>
      <c r="D349" t="s">
        <v>234</v>
      </c>
      <c r="E349" t="s">
        <v>25</v>
      </c>
      <c r="F349">
        <f>IF(OR(Markets!B8="",Markets!G8=""),"",Markets!G8)</f>
        <v>13.3</v>
      </c>
    </row>
    <row r="350" spans="1:7" x14ac:dyDescent="0.25">
      <c r="A350" t="s">
        <v>280</v>
      </c>
      <c r="C350" t="str">
        <f>IF(Markets!B8="","",Markets!B8)</f>
        <v>Non-U.S. All Cap</v>
      </c>
      <c r="D350" t="s">
        <v>234</v>
      </c>
      <c r="E350" t="s">
        <v>26</v>
      </c>
      <c r="F350">
        <f>IF(OR(Markets!B8="",Markets!H8=""),"",Markets!H8)</f>
        <v>27.1</v>
      </c>
    </row>
    <row r="351" spans="1:7" x14ac:dyDescent="0.25">
      <c r="A351" t="s">
        <v>280</v>
      </c>
      <c r="C351" t="str">
        <f>IF(Markets!B8="","",Markets!B8)</f>
        <v>Non-U.S. All Cap</v>
      </c>
      <c r="D351" t="s">
        <v>234</v>
      </c>
      <c r="E351" t="s">
        <v>27</v>
      </c>
      <c r="F351">
        <f>IF(OR(Markets!B8="",Markets!I8=""),"",Markets!I8)</f>
        <v>16.899999999999999</v>
      </c>
    </row>
    <row r="352" spans="1:7" x14ac:dyDescent="0.25">
      <c r="A352" t="s">
        <v>280</v>
      </c>
      <c r="C352" t="str">
        <f>IF(Markets!B8="","",Markets!B8)</f>
        <v>Non-U.S. All Cap</v>
      </c>
      <c r="D352" t="s">
        <v>234</v>
      </c>
      <c r="E352" t="s">
        <v>28</v>
      </c>
      <c r="F352">
        <f>IF(OR(Markets!B8="",Markets!J8=""),"",Markets!J8)</f>
        <v>8.8000000000000007</v>
      </c>
    </row>
    <row r="353" spans="1:7" x14ac:dyDescent="0.25">
      <c r="A353" t="s">
        <v>280</v>
      </c>
      <c r="C353" t="str">
        <f>IF(Markets!B8="","",Markets!B8)</f>
        <v>Non-U.S. All Cap</v>
      </c>
      <c r="D353" t="s">
        <v>234</v>
      </c>
      <c r="E353" t="s">
        <v>29</v>
      </c>
      <c r="F353">
        <f>IF(OR(Markets!B8="",Markets!K8=""),"",Markets!K8)</f>
        <v>9.3000000000000007</v>
      </c>
    </row>
    <row r="354" spans="1:7" x14ac:dyDescent="0.25">
      <c r="A354" t="s">
        <v>280</v>
      </c>
      <c r="C354" t="str">
        <f>IF(Markets!B9="","",Markets!B9)</f>
        <v>Emerging Markets</v>
      </c>
      <c r="D354" t="s">
        <v>281</v>
      </c>
      <c r="G354" t="str">
        <f>IF(Markets!B9="","",Markets!A9)</f>
        <v>Global equity</v>
      </c>
    </row>
    <row r="355" spans="1:7" x14ac:dyDescent="0.25">
      <c r="A355" t="s">
        <v>280</v>
      </c>
      <c r="C355" t="str">
        <f>IF(Markets!B9="","",Markets!B9)</f>
        <v>Emerging Markets</v>
      </c>
      <c r="D355" t="s">
        <v>282</v>
      </c>
      <c r="G355" t="str">
        <f>IF(Markets!B9="","",Markets!C9)</f>
        <v>MSCI Emerging Markets Total Return</v>
      </c>
    </row>
    <row r="356" spans="1:7" x14ac:dyDescent="0.25">
      <c r="A356" t="s">
        <v>280</v>
      </c>
      <c r="C356" t="str">
        <f>IF(Markets!B9="","",Markets!B9)</f>
        <v>Emerging Markets</v>
      </c>
      <c r="D356" t="s">
        <v>234</v>
      </c>
      <c r="E356" t="s">
        <v>22</v>
      </c>
      <c r="F356">
        <f>IF(OR(Markets!B9="",Markets!D9=""),"",Markets!D9)</f>
        <v>-3.1</v>
      </c>
    </row>
    <row r="357" spans="1:7" x14ac:dyDescent="0.25">
      <c r="A357" t="s">
        <v>280</v>
      </c>
      <c r="C357" t="str">
        <f>IF(Markets!B9="","",Markets!B9)</f>
        <v>Emerging Markets</v>
      </c>
      <c r="D357" t="s">
        <v>234</v>
      </c>
      <c r="E357" t="s">
        <v>23</v>
      </c>
      <c r="F357">
        <f>IF(OR(Markets!B9="",Markets!E9=""),"",Markets!E9)</f>
        <v>4.8</v>
      </c>
    </row>
    <row r="358" spans="1:7" x14ac:dyDescent="0.25">
      <c r="A358" t="s">
        <v>280</v>
      </c>
      <c r="C358" t="str">
        <f>IF(Markets!B9="","",Markets!B9)</f>
        <v>Emerging Markets</v>
      </c>
      <c r="D358" t="s">
        <v>234</v>
      </c>
      <c r="E358" t="s">
        <v>24</v>
      </c>
      <c r="F358">
        <f>IF(OR(Markets!B9="",Markets!F9=""),"",Markets!F9)</f>
        <v>-3.1</v>
      </c>
    </row>
    <row r="359" spans="1:7" x14ac:dyDescent="0.25">
      <c r="A359" t="s">
        <v>280</v>
      </c>
      <c r="C359" t="str">
        <f>IF(Markets!B9="","",Markets!B9)</f>
        <v>Emerging Markets</v>
      </c>
      <c r="D359" t="s">
        <v>234</v>
      </c>
      <c r="E359" t="s">
        <v>25</v>
      </c>
      <c r="F359">
        <f>IF(OR(Markets!B9="",Markets!G9=""),"",Markets!G9)</f>
        <v>20</v>
      </c>
    </row>
    <row r="360" spans="1:7" x14ac:dyDescent="0.25">
      <c r="A360" t="s">
        <v>280</v>
      </c>
      <c r="C360" t="str">
        <f>IF(Markets!B9="","",Markets!B9)</f>
        <v>Emerging Markets</v>
      </c>
      <c r="D360" t="s">
        <v>234</v>
      </c>
      <c r="E360" t="s">
        <v>26</v>
      </c>
      <c r="F360">
        <f>IF(OR(Markets!B9="",Markets!H9=""),"",Markets!H9)</f>
        <v>36.4</v>
      </c>
    </row>
    <row r="361" spans="1:7" x14ac:dyDescent="0.25">
      <c r="A361" t="s">
        <v>280</v>
      </c>
      <c r="C361" t="str">
        <f>IF(Markets!B9="","",Markets!B9)</f>
        <v>Emerging Markets</v>
      </c>
      <c r="D361" t="s">
        <v>234</v>
      </c>
      <c r="E361" t="s">
        <v>27</v>
      </c>
      <c r="F361">
        <f>IF(OR(Markets!B9="",Markets!I9=""),"",Markets!I9)</f>
        <v>19.3</v>
      </c>
    </row>
    <row r="362" spans="1:7" x14ac:dyDescent="0.25">
      <c r="A362" t="s">
        <v>280</v>
      </c>
      <c r="C362" t="str">
        <f>IF(Markets!B9="","",Markets!B9)</f>
        <v>Emerging Markets</v>
      </c>
      <c r="D362" t="s">
        <v>234</v>
      </c>
      <c r="E362" t="s">
        <v>28</v>
      </c>
      <c r="F362">
        <f>IF(OR(Markets!B9="",Markets!J9=""),"",Markets!J9)</f>
        <v>8</v>
      </c>
    </row>
    <row r="363" spans="1:7" x14ac:dyDescent="0.25">
      <c r="A363" t="s">
        <v>280</v>
      </c>
      <c r="C363" t="str">
        <f>IF(Markets!B9="","",Markets!B9)</f>
        <v>Emerging Markets</v>
      </c>
      <c r="D363" t="s">
        <v>234</v>
      </c>
      <c r="E363" t="s">
        <v>29</v>
      </c>
      <c r="F363">
        <f>IF(OR(Markets!B9="",Markets!K9=""),"",Markets!K9)</f>
        <v>9.1999999999999993</v>
      </c>
    </row>
    <row r="364" spans="1:7" x14ac:dyDescent="0.25">
      <c r="A364" t="s">
        <v>280</v>
      </c>
      <c r="C364" t="str">
        <f>IF(Markets!B10="","",Markets!B10)</f>
        <v>Private Equity Buyout</v>
      </c>
      <c r="D364" t="s">
        <v>281</v>
      </c>
      <c r="G364" t="str">
        <f>IF(Markets!B10="","",Markets!A10)</f>
        <v>Private equity</v>
      </c>
    </row>
    <row r="365" spans="1:7" x14ac:dyDescent="0.25">
      <c r="A365" t="s">
        <v>280</v>
      </c>
      <c r="C365" t="str">
        <f>IF(Markets!B10="","",Markets!B10)</f>
        <v>Private Equity Buyout</v>
      </c>
      <c r="D365" t="s">
        <v>282</v>
      </c>
      <c r="G365" t="str">
        <f>IF(Markets!B10="","",Markets!C10)</f>
        <v>Thomson Reuters PE Buyout Index</v>
      </c>
    </row>
    <row r="366" spans="1:7" x14ac:dyDescent="0.25">
      <c r="A366" t="s">
        <v>280</v>
      </c>
      <c r="C366" t="str">
        <f>IF(Markets!B10="","",Markets!B10)</f>
        <v>Private Equity Buyout</v>
      </c>
      <c r="D366" t="s">
        <v>234</v>
      </c>
      <c r="E366" t="s">
        <v>22</v>
      </c>
      <c r="F366">
        <f>IF(OR(Markets!B10="",Markets!D10=""),"",Markets!D10)</f>
        <v>-0.5</v>
      </c>
    </row>
    <row r="367" spans="1:7" x14ac:dyDescent="0.25">
      <c r="A367" t="s">
        <v>280</v>
      </c>
      <c r="C367" t="str">
        <f>IF(Markets!B10="","",Markets!B10)</f>
        <v>Private Equity Buyout</v>
      </c>
      <c r="D367" t="s">
        <v>234</v>
      </c>
      <c r="E367" t="s">
        <v>23</v>
      </c>
      <c r="F367">
        <f>IF(OR(Markets!B10="",Markets!E10=""),"",Markets!E10)</f>
        <v>6.5</v>
      </c>
    </row>
    <row r="368" spans="1:7" x14ac:dyDescent="0.25">
      <c r="A368" t="s">
        <v>280</v>
      </c>
      <c r="C368" t="str">
        <f>IF(Markets!B10="","",Markets!B10)</f>
        <v>Private Equity Buyout</v>
      </c>
      <c r="D368" t="s">
        <v>234</v>
      </c>
      <c r="E368" t="s">
        <v>24</v>
      </c>
      <c r="F368">
        <f>IF(OR(Markets!B10="",Markets!F10=""),"",Markets!F10)</f>
        <v>-0.5</v>
      </c>
    </row>
    <row r="369" spans="1:7" x14ac:dyDescent="0.25">
      <c r="A369" t="s">
        <v>280</v>
      </c>
      <c r="C369" t="str">
        <f>IF(Markets!B10="","",Markets!B10)</f>
        <v>Private Equity Buyout</v>
      </c>
      <c r="D369" t="s">
        <v>234</v>
      </c>
      <c r="E369" t="s">
        <v>25</v>
      </c>
      <c r="F369">
        <f>IF(OR(Markets!B10="",Markets!G10=""),"",Markets!G10)</f>
        <v>11.8</v>
      </c>
    </row>
    <row r="370" spans="1:7" x14ac:dyDescent="0.25">
      <c r="A370" t="s">
        <v>280</v>
      </c>
      <c r="C370" t="str">
        <f>IF(Markets!B10="","",Markets!B10)</f>
        <v>Private Equity Buyout</v>
      </c>
      <c r="D370" t="s">
        <v>234</v>
      </c>
      <c r="E370" t="s">
        <v>26</v>
      </c>
      <c r="F370">
        <f>IF(OR(Markets!B10="",Markets!H10=""),"",Markets!H10)</f>
        <v>22.3</v>
      </c>
    </row>
    <row r="371" spans="1:7" x14ac:dyDescent="0.25">
      <c r="A371" t="s">
        <v>280</v>
      </c>
      <c r="C371" t="str">
        <f>IF(Markets!B10="","",Markets!B10)</f>
        <v>Private Equity Buyout</v>
      </c>
      <c r="D371" t="s">
        <v>234</v>
      </c>
      <c r="E371" t="s">
        <v>27</v>
      </c>
      <c r="F371">
        <f>IF(OR(Markets!B10="",Markets!I10=""),"",Markets!I10)</f>
        <v>24.3</v>
      </c>
    </row>
    <row r="372" spans="1:7" x14ac:dyDescent="0.25">
      <c r="A372" t="s">
        <v>280</v>
      </c>
      <c r="C372" t="str">
        <f>IF(Markets!B10="","",Markets!B10)</f>
        <v>Private Equity Buyout</v>
      </c>
      <c r="D372" t="s">
        <v>234</v>
      </c>
      <c r="E372" t="s">
        <v>28</v>
      </c>
      <c r="F372">
        <f>IF(OR(Markets!B10="",Markets!J10=""),"",Markets!J10)</f>
        <v>8.6</v>
      </c>
    </row>
    <row r="373" spans="1:7" x14ac:dyDescent="0.25">
      <c r="A373" t="s">
        <v>280</v>
      </c>
      <c r="C373" t="str">
        <f>IF(Markets!B10="","",Markets!B10)</f>
        <v>Private Equity Buyout</v>
      </c>
      <c r="D373" t="s">
        <v>234</v>
      </c>
      <c r="E373" t="s">
        <v>29</v>
      </c>
      <c r="F373">
        <f>IF(OR(Markets!B10="",Markets!K10=""),"",Markets!K10)</f>
        <v>13.4</v>
      </c>
    </row>
    <row r="374" spans="1:7" x14ac:dyDescent="0.25">
      <c r="A374" t="s">
        <v>280</v>
      </c>
      <c r="C374" t="str">
        <f>IF(Markets!B11="","",Markets!B11)</f>
        <v>U.S. Corporate High Yield</v>
      </c>
      <c r="D374" t="s">
        <v>281</v>
      </c>
      <c r="G374" t="str">
        <f>IF(Markets!B11="","",Markets!A11)</f>
        <v>Fixed income</v>
      </c>
    </row>
    <row r="375" spans="1:7" x14ac:dyDescent="0.25">
      <c r="A375" t="s">
        <v>280</v>
      </c>
      <c r="C375" t="str">
        <f>IF(Markets!B11="","",Markets!B11)</f>
        <v>U.S. Corporate High Yield</v>
      </c>
      <c r="D375" t="s">
        <v>282</v>
      </c>
      <c r="G375" t="str">
        <f>IF(Markets!B11="","",Markets!C11)</f>
        <v>Bloomberg U.S. Corporate High Yield Total Return</v>
      </c>
    </row>
    <row r="376" spans="1:7" x14ac:dyDescent="0.25">
      <c r="A376" t="s">
        <v>280</v>
      </c>
      <c r="C376" t="str">
        <f>IF(Markets!B11="","",Markets!B11)</f>
        <v>U.S. Corporate High Yield</v>
      </c>
      <c r="D376" t="s">
        <v>234</v>
      </c>
      <c r="E376" t="s">
        <v>22</v>
      </c>
      <c r="F376">
        <f>IF(OR(Markets!B11="",Markets!D11=""),"",Markets!D11)</f>
        <v>-0.2</v>
      </c>
    </row>
    <row r="377" spans="1:7" x14ac:dyDescent="0.25">
      <c r="A377" t="s">
        <v>280</v>
      </c>
      <c r="C377" t="str">
        <f>IF(Markets!B11="","",Markets!B11)</f>
        <v>U.S. Corporate High Yield</v>
      </c>
      <c r="D377" t="s">
        <v>234</v>
      </c>
      <c r="E377" t="s">
        <v>23</v>
      </c>
      <c r="F377">
        <f>IF(OR(Markets!B11="",Markets!E11=""),"",Markets!E11)</f>
        <v>0.5</v>
      </c>
    </row>
    <row r="378" spans="1:7" x14ac:dyDescent="0.25">
      <c r="A378" t="s">
        <v>280</v>
      </c>
      <c r="C378" t="str">
        <f>IF(Markets!B11="","",Markets!B11)</f>
        <v>U.S. Corporate High Yield</v>
      </c>
      <c r="D378" t="s">
        <v>234</v>
      </c>
      <c r="E378" t="s">
        <v>24</v>
      </c>
      <c r="F378">
        <f>IF(OR(Markets!B11="",Markets!F11=""),"",Markets!F11)</f>
        <v>-0.2</v>
      </c>
    </row>
    <row r="379" spans="1:7" x14ac:dyDescent="0.25">
      <c r="A379" t="s">
        <v>280</v>
      </c>
      <c r="C379" t="str">
        <f>IF(Markets!B11="","",Markets!B11)</f>
        <v>U.S. Corporate High Yield</v>
      </c>
      <c r="D379" t="s">
        <v>234</v>
      </c>
      <c r="E379" t="s">
        <v>25</v>
      </c>
      <c r="F379">
        <f>IF(OR(Markets!B11="",Markets!G11=""),"",Markets!G11)</f>
        <v>1.7</v>
      </c>
    </row>
    <row r="380" spans="1:7" x14ac:dyDescent="0.25">
      <c r="A380" t="s">
        <v>280</v>
      </c>
      <c r="C380" t="str">
        <f>IF(Markets!B11="","",Markets!B11)</f>
        <v>U.S. Corporate High Yield</v>
      </c>
      <c r="D380" t="s">
        <v>234</v>
      </c>
      <c r="E380" t="s">
        <v>26</v>
      </c>
      <c r="F380">
        <f>IF(OR(Markets!B11="",Markets!H11=""),"",Markets!H11)</f>
        <v>5.2</v>
      </c>
    </row>
    <row r="381" spans="1:7" x14ac:dyDescent="0.25">
      <c r="A381" t="s">
        <v>280</v>
      </c>
      <c r="C381" t="str">
        <f>IF(Markets!B11="","",Markets!B11)</f>
        <v>U.S. Corporate High Yield</v>
      </c>
      <c r="D381" t="s">
        <v>234</v>
      </c>
      <c r="E381" t="s">
        <v>27</v>
      </c>
      <c r="F381">
        <f>IF(OR(Markets!B11="",Markets!I11=""),"",Markets!I11)</f>
        <v>8.3000000000000007</v>
      </c>
    </row>
    <row r="382" spans="1:7" x14ac:dyDescent="0.25">
      <c r="A382" t="s">
        <v>280</v>
      </c>
      <c r="C382" t="str">
        <f>IF(Markets!B11="","",Markets!B11)</f>
        <v>U.S. Corporate High Yield</v>
      </c>
      <c r="D382" t="s">
        <v>234</v>
      </c>
      <c r="E382" t="s">
        <v>28</v>
      </c>
      <c r="F382">
        <f>IF(OR(Markets!B11="",Markets!J11=""),"",Markets!J11)</f>
        <v>4</v>
      </c>
    </row>
    <row r="383" spans="1:7" x14ac:dyDescent="0.25">
      <c r="A383" t="s">
        <v>280</v>
      </c>
      <c r="C383" t="str">
        <f>IF(Markets!B11="","",Markets!B11)</f>
        <v>U.S. Corporate High Yield</v>
      </c>
      <c r="D383" t="s">
        <v>234</v>
      </c>
      <c r="E383" t="s">
        <v>29</v>
      </c>
      <c r="F383">
        <f>IF(OR(Markets!B11="",Markets!K11=""),"",Markets!K11)</f>
        <v>5.5</v>
      </c>
    </row>
    <row r="384" spans="1:7" x14ac:dyDescent="0.25">
      <c r="A384" t="s">
        <v>280</v>
      </c>
      <c r="C384" t="str">
        <f>IF(Markets!B12="","",Markets!B12)</f>
        <v>U.S. Long-Term Treasuries</v>
      </c>
      <c r="D384" t="s">
        <v>281</v>
      </c>
      <c r="G384" t="str">
        <f>IF(Markets!B12="","",Markets!A12)</f>
        <v>Fixed income</v>
      </c>
    </row>
    <row r="385" spans="1:7" x14ac:dyDescent="0.25">
      <c r="A385" t="s">
        <v>280</v>
      </c>
      <c r="C385" t="str">
        <f>IF(Markets!B12="","",Markets!B12)</f>
        <v>U.S. Long-Term Treasuries</v>
      </c>
      <c r="D385" t="s">
        <v>282</v>
      </c>
      <c r="G385" t="str">
        <f>IF(Markets!B12="","",Markets!C12)</f>
        <v>Bloomberg Long Term U.S. Treasury Total Return</v>
      </c>
    </row>
    <row r="386" spans="1:7" x14ac:dyDescent="0.25">
      <c r="A386" t="s">
        <v>280</v>
      </c>
      <c r="C386" t="str">
        <f>IF(Markets!B12="","",Markets!B12)</f>
        <v>U.S. Long-Term Treasuries</v>
      </c>
      <c r="D386" t="s">
        <v>234</v>
      </c>
      <c r="E386" t="s">
        <v>22</v>
      </c>
      <c r="F386">
        <f>IF(OR(Markets!B12="",Markets!D12=""),"",Markets!D12)</f>
        <v>-4</v>
      </c>
    </row>
    <row r="387" spans="1:7" x14ac:dyDescent="0.25">
      <c r="A387" t="s">
        <v>280</v>
      </c>
      <c r="C387" t="str">
        <f>IF(Markets!B12="","",Markets!B12)</f>
        <v>U.S. Long-Term Treasuries</v>
      </c>
      <c r="D387" t="s">
        <v>234</v>
      </c>
      <c r="E387" t="s">
        <v>23</v>
      </c>
      <c r="F387">
        <f>IF(OR(Markets!B12="",Markets!E12=""),"",Markets!E12)</f>
        <v>-2.5</v>
      </c>
    </row>
    <row r="388" spans="1:7" x14ac:dyDescent="0.25">
      <c r="A388" t="s">
        <v>280</v>
      </c>
      <c r="C388" t="str">
        <f>IF(Markets!B12="","",Markets!B12)</f>
        <v>U.S. Long-Term Treasuries</v>
      </c>
      <c r="D388" t="s">
        <v>234</v>
      </c>
      <c r="E388" t="s">
        <v>24</v>
      </c>
      <c r="F388">
        <f>IF(OR(Markets!B12="",Markets!F12=""),"",Markets!F12)</f>
        <v>-4</v>
      </c>
    </row>
    <row r="389" spans="1:7" x14ac:dyDescent="0.25">
      <c r="A389" t="s">
        <v>280</v>
      </c>
      <c r="C389" t="str">
        <f>IF(Markets!B12="","",Markets!B12)</f>
        <v>U.S. Long-Term Treasuries</v>
      </c>
      <c r="D389" t="s">
        <v>234</v>
      </c>
      <c r="E389" t="s">
        <v>25</v>
      </c>
      <c r="F389">
        <f>IF(OR(Markets!B12="",Markets!G12=""),"",Markets!G12)</f>
        <v>-3.6</v>
      </c>
    </row>
    <row r="390" spans="1:7" x14ac:dyDescent="0.25">
      <c r="A390" t="s">
        <v>280</v>
      </c>
      <c r="C390" t="str">
        <f>IF(Markets!B12="","",Markets!B12)</f>
        <v>U.S. Long-Term Treasuries</v>
      </c>
      <c r="D390" t="s">
        <v>234</v>
      </c>
      <c r="E390" t="s">
        <v>26</v>
      </c>
      <c r="F390">
        <f>IF(OR(Markets!B12="",Markets!H12=""),"",Markets!H12)</f>
        <v>-0.3</v>
      </c>
    </row>
    <row r="391" spans="1:7" x14ac:dyDescent="0.25">
      <c r="A391" t="s">
        <v>280</v>
      </c>
      <c r="C391" t="str">
        <f>IF(Markets!B12="","",Markets!B12)</f>
        <v>U.S. Long-Term Treasuries</v>
      </c>
      <c r="D391" t="s">
        <v>234</v>
      </c>
      <c r="E391" t="s">
        <v>27</v>
      </c>
      <c r="F391">
        <f>IF(OR(Markets!B12="",Markets!I12=""),"",Markets!I12)</f>
        <v>-1.1000000000000001</v>
      </c>
    </row>
    <row r="392" spans="1:7" x14ac:dyDescent="0.25">
      <c r="A392" t="s">
        <v>280</v>
      </c>
      <c r="C392" t="str">
        <f>IF(Markets!B12="","",Markets!B12)</f>
        <v>U.S. Long-Term Treasuries</v>
      </c>
      <c r="D392" t="s">
        <v>234</v>
      </c>
      <c r="E392" t="s">
        <v>28</v>
      </c>
      <c r="F392">
        <f>IF(OR(Markets!B12="",Markets!J12=""),"",Markets!J12)</f>
        <v>-7</v>
      </c>
    </row>
    <row r="393" spans="1:7" x14ac:dyDescent="0.25">
      <c r="A393" t="s">
        <v>280</v>
      </c>
      <c r="C393" t="str">
        <f>IF(Markets!B12="","",Markets!B12)</f>
        <v>U.S. Long-Term Treasuries</v>
      </c>
      <c r="D393" t="s">
        <v>234</v>
      </c>
      <c r="E393" t="s">
        <v>29</v>
      </c>
      <c r="F393">
        <f>IF(OR(Markets!B12="",Markets!K12=""),"",Markets!K12)</f>
        <v>-2</v>
      </c>
    </row>
    <row r="394" spans="1:7" x14ac:dyDescent="0.25">
      <c r="A394" t="s">
        <v>280</v>
      </c>
      <c r="C394" t="str">
        <f>IF(Markets!B13="","",Markets!B13)</f>
        <v>DM Leveraged Loans</v>
      </c>
      <c r="D394" t="s">
        <v>281</v>
      </c>
      <c r="G394" t="str">
        <f>IF(Markets!B13="","",Markets!A13)</f>
        <v>Fixed income</v>
      </c>
    </row>
    <row r="395" spans="1:7" x14ac:dyDescent="0.25">
      <c r="A395" t="s">
        <v>280</v>
      </c>
      <c r="C395" t="str">
        <f>IF(Markets!B13="","",Markets!B13)</f>
        <v>DM Leveraged Loans</v>
      </c>
      <c r="D395" t="s">
        <v>282</v>
      </c>
      <c r="G395" t="str">
        <f>IF(Markets!B13="","",Markets!C13)</f>
        <v>Credit Suisse Leveraged Loan Total Return</v>
      </c>
    </row>
    <row r="396" spans="1:7" x14ac:dyDescent="0.25">
      <c r="A396" t="s">
        <v>280</v>
      </c>
      <c r="C396" t="str">
        <f>IF(Markets!B13="","",Markets!B13)</f>
        <v>DM Leveraged Loans</v>
      </c>
      <c r="D396" t="s">
        <v>234</v>
      </c>
      <c r="E396" t="s">
        <v>22</v>
      </c>
      <c r="F396">
        <f>IF(OR(Markets!B13="",Markets!D13=""),"",Markets!D13)</f>
        <v>0.8</v>
      </c>
    </row>
    <row r="397" spans="1:7" x14ac:dyDescent="0.25">
      <c r="A397" t="s">
        <v>280</v>
      </c>
      <c r="C397" t="str">
        <f>IF(Markets!B13="","",Markets!B13)</f>
        <v>DM Leveraged Loans</v>
      </c>
      <c r="D397" t="s">
        <v>234</v>
      </c>
      <c r="E397" t="s">
        <v>23</v>
      </c>
      <c r="F397">
        <f>IF(OR(Markets!B13="",Markets!E13=""),"",Markets!E13)</f>
        <v>1.4</v>
      </c>
    </row>
    <row r="398" spans="1:7" x14ac:dyDescent="0.25">
      <c r="A398" t="s">
        <v>280</v>
      </c>
      <c r="C398" t="str">
        <f>IF(Markets!B13="","",Markets!B13)</f>
        <v>DM Leveraged Loans</v>
      </c>
      <c r="D398" t="s">
        <v>234</v>
      </c>
      <c r="E398" t="s">
        <v>24</v>
      </c>
      <c r="F398">
        <f>IF(OR(Markets!B13="",Markets!F13=""),"",Markets!F13)</f>
        <v>0.8</v>
      </c>
    </row>
    <row r="399" spans="1:7" x14ac:dyDescent="0.25">
      <c r="A399" t="s">
        <v>280</v>
      </c>
      <c r="C399" t="str">
        <f>IF(Markets!B13="","",Markets!B13)</f>
        <v>DM Leveraged Loans</v>
      </c>
      <c r="D399" t="s">
        <v>234</v>
      </c>
      <c r="E399" t="s">
        <v>25</v>
      </c>
      <c r="F399">
        <f>IF(OR(Markets!B13="",Markets!G13=""),"",Markets!G13)</f>
        <v>2.2000000000000002</v>
      </c>
    </row>
    <row r="400" spans="1:7" x14ac:dyDescent="0.25">
      <c r="A400" t="s">
        <v>280</v>
      </c>
      <c r="C400" t="str">
        <f>IF(Markets!B13="","",Markets!B13)</f>
        <v>DM Leveraged Loans</v>
      </c>
      <c r="D400" t="s">
        <v>234</v>
      </c>
      <c r="E400" t="s">
        <v>26</v>
      </c>
      <c r="F400">
        <f>IF(OR(Markets!B13="",Markets!H13=""),"",Markets!H13)</f>
        <v>4.3</v>
      </c>
    </row>
    <row r="401" spans="1:7" x14ac:dyDescent="0.25">
      <c r="A401" t="s">
        <v>280</v>
      </c>
      <c r="C401" t="str">
        <f>IF(Markets!B13="","",Markets!B13)</f>
        <v>DM Leveraged Loans</v>
      </c>
      <c r="D401" t="s">
        <v>234</v>
      </c>
      <c r="E401" t="s">
        <v>27</v>
      </c>
      <c r="F401">
        <f>IF(OR(Markets!B13="",Markets!I13=""),"",Markets!I13)</f>
        <v>7.4</v>
      </c>
    </row>
    <row r="402" spans="1:7" x14ac:dyDescent="0.25">
      <c r="A402" t="s">
        <v>280</v>
      </c>
      <c r="C402" t="str">
        <f>IF(Markets!B13="","",Markets!B13)</f>
        <v>DM Leveraged Loans</v>
      </c>
      <c r="D402" t="s">
        <v>234</v>
      </c>
      <c r="E402" t="s">
        <v>28</v>
      </c>
      <c r="F402">
        <f>IF(OR(Markets!B13="",Markets!J13=""),"",Markets!J13)</f>
        <v>6.1</v>
      </c>
    </row>
    <row r="403" spans="1:7" x14ac:dyDescent="0.25">
      <c r="A403" t="s">
        <v>280</v>
      </c>
      <c r="C403" t="str">
        <f>IF(Markets!B13="","",Markets!B13)</f>
        <v>DM Leveraged Loans</v>
      </c>
      <c r="D403" t="s">
        <v>234</v>
      </c>
      <c r="E403" t="s">
        <v>29</v>
      </c>
      <c r="F403">
        <f>IF(OR(Markets!B13="",Markets!K13=""),"",Markets!K13)</f>
        <v>5.4</v>
      </c>
    </row>
    <row r="404" spans="1:7" x14ac:dyDescent="0.25">
      <c r="A404" t="s">
        <v>280</v>
      </c>
      <c r="C404" t="str">
        <f>IF(Markets!B14="","",Markets!B14)</f>
        <v>Natural Resources</v>
      </c>
      <c r="D404" t="s">
        <v>281</v>
      </c>
      <c r="G404" t="str">
        <f>IF(Markets!B14="","",Markets!A14)</f>
        <v>Real assets &amp; inflation hedges</v>
      </c>
    </row>
    <row r="405" spans="1:7" x14ac:dyDescent="0.25">
      <c r="A405" t="s">
        <v>280</v>
      </c>
      <c r="C405" t="str">
        <f>IF(Markets!B14="","",Markets!B14)</f>
        <v>Natural Resources</v>
      </c>
      <c r="D405" t="s">
        <v>282</v>
      </c>
      <c r="G405" t="str">
        <f>IF(Markets!B14="","",Markets!C14)</f>
        <v>S&amp;P Global Natural Resources Total Return</v>
      </c>
    </row>
    <row r="406" spans="1:7" x14ac:dyDescent="0.25">
      <c r="A406" t="s">
        <v>280</v>
      </c>
      <c r="C406" t="str">
        <f>IF(Markets!B14="","",Markets!B14)</f>
        <v>Natural Resources</v>
      </c>
      <c r="D406" t="s">
        <v>234</v>
      </c>
      <c r="E406" t="s">
        <v>22</v>
      </c>
      <c r="F406">
        <f>IF(OR(Markets!B14="",Markets!D14=""),"",Markets!D14)</f>
        <v>7.5</v>
      </c>
    </row>
    <row r="407" spans="1:7" x14ac:dyDescent="0.25">
      <c r="A407" t="s">
        <v>280</v>
      </c>
      <c r="C407" t="str">
        <f>IF(Markets!B14="","",Markets!B14)</f>
        <v>Natural Resources</v>
      </c>
      <c r="D407" t="s">
        <v>234</v>
      </c>
      <c r="E407" t="s">
        <v>23</v>
      </c>
      <c r="F407">
        <f>IF(OR(Markets!B14="",Markets!E14=""),"",Markets!E14)</f>
        <v>-1.8</v>
      </c>
    </row>
    <row r="408" spans="1:7" x14ac:dyDescent="0.25">
      <c r="A408" t="s">
        <v>280</v>
      </c>
      <c r="C408" t="str">
        <f>IF(Markets!B14="","",Markets!B14)</f>
        <v>Natural Resources</v>
      </c>
      <c r="D408" t="s">
        <v>234</v>
      </c>
      <c r="E408" t="s">
        <v>24</v>
      </c>
      <c r="F408">
        <f>IF(OR(Markets!B14="",Markets!F14=""),"",Markets!F14)</f>
        <v>7.5</v>
      </c>
    </row>
    <row r="409" spans="1:7" x14ac:dyDescent="0.25">
      <c r="A409" t="s">
        <v>280</v>
      </c>
      <c r="C409" t="str">
        <f>IF(Markets!B14="","",Markets!B14)</f>
        <v>Natural Resources</v>
      </c>
      <c r="D409" t="s">
        <v>234</v>
      </c>
      <c r="E409" t="s">
        <v>25</v>
      </c>
      <c r="F409">
        <f>IF(OR(Markets!B14="",Markets!G14=""),"",Markets!G14)</f>
        <v>17.899999999999999</v>
      </c>
    </row>
    <row r="410" spans="1:7" x14ac:dyDescent="0.25">
      <c r="A410" t="s">
        <v>280</v>
      </c>
      <c r="C410" t="str">
        <f>IF(Markets!B14="","",Markets!B14)</f>
        <v>Natural Resources</v>
      </c>
      <c r="D410" t="s">
        <v>234</v>
      </c>
      <c r="E410" t="s">
        <v>26</v>
      </c>
      <c r="F410">
        <f>IF(OR(Markets!B14="",Markets!H14=""),"",Markets!H14)</f>
        <v>37</v>
      </c>
    </row>
    <row r="411" spans="1:7" x14ac:dyDescent="0.25">
      <c r="A411" t="s">
        <v>280</v>
      </c>
      <c r="C411" t="str">
        <f>IF(Markets!B14="","",Markets!B14)</f>
        <v>Natural Resources</v>
      </c>
      <c r="D411" t="s">
        <v>234</v>
      </c>
      <c r="E411" t="s">
        <v>27</v>
      </c>
      <c r="F411">
        <f>IF(OR(Markets!B14="",Markets!I14=""),"",Markets!I14)</f>
        <v>11.8</v>
      </c>
    </row>
    <row r="412" spans="1:7" x14ac:dyDescent="0.25">
      <c r="A412" t="s">
        <v>280</v>
      </c>
      <c r="C412" t="str">
        <f>IF(Markets!B14="","",Markets!B14)</f>
        <v>Natural Resources</v>
      </c>
      <c r="D412" t="s">
        <v>234</v>
      </c>
      <c r="E412" t="s">
        <v>28</v>
      </c>
      <c r="F412">
        <f>IF(OR(Markets!B14="",Markets!J14=""),"",Markets!J14)</f>
        <v>11</v>
      </c>
    </row>
    <row r="413" spans="1:7" x14ac:dyDescent="0.25">
      <c r="A413" t="s">
        <v>280</v>
      </c>
      <c r="C413" t="str">
        <f>IF(Markets!B14="","",Markets!B14)</f>
        <v>Natural Resources</v>
      </c>
      <c r="D413" t="s">
        <v>234</v>
      </c>
      <c r="E413" t="s">
        <v>29</v>
      </c>
      <c r="F413">
        <f>IF(OR(Markets!B14="",Markets!K14=""),"",Markets!K14)</f>
        <v>10.7</v>
      </c>
    </row>
    <row r="414" spans="1:7" x14ac:dyDescent="0.25">
      <c r="A414" t="s">
        <v>280</v>
      </c>
      <c r="C414" t="str">
        <f>IF(Markets!B15="","",Markets!B15)</f>
        <v>Global Infrastructure</v>
      </c>
      <c r="D414" t="s">
        <v>281</v>
      </c>
      <c r="G414" t="str">
        <f>IF(Markets!B15="","",Markets!A15)</f>
        <v>Real assets &amp; inflation hedges</v>
      </c>
    </row>
    <row r="415" spans="1:7" x14ac:dyDescent="0.25">
      <c r="A415" t="s">
        <v>280</v>
      </c>
      <c r="C415" t="str">
        <f>IF(Markets!B15="","",Markets!B15)</f>
        <v>Global Infrastructure</v>
      </c>
      <c r="D415" t="s">
        <v>282</v>
      </c>
      <c r="G415" t="str">
        <f>IF(Markets!B15="","",Markets!C15)</f>
        <v>Dow Jones Brookfield Global Infrastructure Composite</v>
      </c>
    </row>
    <row r="416" spans="1:7" x14ac:dyDescent="0.25">
      <c r="A416" t="s">
        <v>280</v>
      </c>
      <c r="C416" t="str">
        <f>IF(Markets!B15="","",Markets!B15)</f>
        <v>Global Infrastructure</v>
      </c>
      <c r="D416" t="s">
        <v>234</v>
      </c>
      <c r="E416" t="s">
        <v>22</v>
      </c>
      <c r="F416">
        <f>IF(OR(Markets!B15="",Markets!D15=""),"",Markets!D15)</f>
        <v>1.1000000000000001</v>
      </c>
    </row>
    <row r="417" spans="1:7" x14ac:dyDescent="0.25">
      <c r="A417" t="s">
        <v>280</v>
      </c>
      <c r="C417" t="str">
        <f>IF(Markets!B15="","",Markets!B15)</f>
        <v>Global Infrastructure</v>
      </c>
      <c r="D417" t="s">
        <v>234</v>
      </c>
      <c r="E417" t="s">
        <v>23</v>
      </c>
      <c r="F417">
        <f>IF(OR(Markets!B15="",Markets!E15=""),"",Markets!E15)</f>
        <v>-2</v>
      </c>
    </row>
    <row r="418" spans="1:7" x14ac:dyDescent="0.25">
      <c r="A418" t="s">
        <v>280</v>
      </c>
      <c r="C418" t="str">
        <f>IF(Markets!B15="","",Markets!B15)</f>
        <v>Global Infrastructure</v>
      </c>
      <c r="D418" t="s">
        <v>234</v>
      </c>
      <c r="E418" t="s">
        <v>24</v>
      </c>
      <c r="F418">
        <f>IF(OR(Markets!B15="",Markets!F15=""),"",Markets!F15)</f>
        <v>1.1000000000000001</v>
      </c>
    </row>
    <row r="419" spans="1:7" x14ac:dyDescent="0.25">
      <c r="A419" t="s">
        <v>280</v>
      </c>
      <c r="C419" t="str">
        <f>IF(Markets!B15="","",Markets!B15)</f>
        <v>Global Infrastructure</v>
      </c>
      <c r="D419" t="s">
        <v>234</v>
      </c>
      <c r="E419" t="s">
        <v>25</v>
      </c>
      <c r="F419">
        <f>IF(OR(Markets!B15="",Markets!G15=""),"",Markets!G15)</f>
        <v>12.2</v>
      </c>
    </row>
    <row r="420" spans="1:7" x14ac:dyDescent="0.25">
      <c r="A420" t="s">
        <v>280</v>
      </c>
      <c r="C420" t="str">
        <f>IF(Markets!B15="","",Markets!B15)</f>
        <v>Global Infrastructure</v>
      </c>
      <c r="D420" t="s">
        <v>234</v>
      </c>
      <c r="E420" t="s">
        <v>26</v>
      </c>
      <c r="F420">
        <f>IF(OR(Markets!B15="",Markets!H15=""),"",Markets!H15)</f>
        <v>15.8</v>
      </c>
    </row>
    <row r="421" spans="1:7" x14ac:dyDescent="0.25">
      <c r="A421" t="s">
        <v>280</v>
      </c>
      <c r="C421" t="str">
        <f>IF(Markets!B15="","",Markets!B15)</f>
        <v>Global Infrastructure</v>
      </c>
      <c r="D421" t="s">
        <v>234</v>
      </c>
      <c r="E421" t="s">
        <v>27</v>
      </c>
      <c r="F421">
        <f>IF(OR(Markets!B15="",Markets!I15=""),"",Markets!I15)</f>
        <v>13.3</v>
      </c>
    </row>
    <row r="422" spans="1:7" x14ac:dyDescent="0.25">
      <c r="A422" t="s">
        <v>280</v>
      </c>
      <c r="C422" t="str">
        <f>IF(Markets!B15="","",Markets!B15)</f>
        <v>Global Infrastructure</v>
      </c>
      <c r="D422" t="s">
        <v>234</v>
      </c>
      <c r="E422" t="s">
        <v>28</v>
      </c>
      <c r="F422">
        <f>IF(OR(Markets!B15="",Markets!J15=""),"",Markets!J15)</f>
        <v>8.5</v>
      </c>
    </row>
    <row r="423" spans="1:7" x14ac:dyDescent="0.25">
      <c r="A423" t="s">
        <v>280</v>
      </c>
      <c r="C423" t="str">
        <f>IF(Markets!B15="","",Markets!B15)</f>
        <v>Global Infrastructure</v>
      </c>
      <c r="D423" t="s">
        <v>234</v>
      </c>
      <c r="E423" t="s">
        <v>29</v>
      </c>
      <c r="F423">
        <f>IF(OR(Markets!B15="",Markets!K15=""),"",Markets!K15)</f>
        <v>7</v>
      </c>
    </row>
    <row r="424" spans="1:7" x14ac:dyDescent="0.25">
      <c r="A424" t="s">
        <v>280</v>
      </c>
      <c r="C424" t="str">
        <f>IF(Markets!B16="","",Markets!B16)</f>
        <v>TIPS 0–5 Years</v>
      </c>
      <c r="D424" t="s">
        <v>281</v>
      </c>
      <c r="G424" t="str">
        <f>IF(Markets!B16="","",Markets!A16)</f>
        <v>Real assets &amp; inflation hedges</v>
      </c>
    </row>
    <row r="425" spans="1:7" x14ac:dyDescent="0.25">
      <c r="A425" t="s">
        <v>280</v>
      </c>
      <c r="C425" t="str">
        <f>IF(Markets!B16="","",Markets!B16)</f>
        <v>TIPS 0–5 Years</v>
      </c>
      <c r="D425" t="s">
        <v>282</v>
      </c>
      <c r="G425" t="str">
        <f>IF(Markets!B16="","",Markets!C16)</f>
        <v>Bloomberg U.S. Treasury TIPS 0–5 Years Total Return</v>
      </c>
    </row>
    <row r="426" spans="1:7" x14ac:dyDescent="0.25">
      <c r="A426" t="s">
        <v>280</v>
      </c>
      <c r="C426" t="str">
        <f>IF(Markets!B16="","",Markets!B16)</f>
        <v>TIPS 0–5 Years</v>
      </c>
      <c r="D426" t="s">
        <v>234</v>
      </c>
      <c r="E426" t="s">
        <v>22</v>
      </c>
      <c r="F426">
        <f>IF(OR(Markets!B16="",Markets!D16=""),"",Markets!D16)</f>
        <v>0.2</v>
      </c>
    </row>
    <row r="427" spans="1:7" x14ac:dyDescent="0.25">
      <c r="A427" t="s">
        <v>280</v>
      </c>
      <c r="C427" t="str">
        <f>IF(Markets!B16="","",Markets!B16)</f>
        <v>TIPS 0–5 Years</v>
      </c>
      <c r="D427" t="s">
        <v>234</v>
      </c>
      <c r="E427" t="s">
        <v>23</v>
      </c>
      <c r="F427">
        <f>IF(OR(Markets!B16="",Markets!E16=""),"",Markets!E16)</f>
        <v>-0.1</v>
      </c>
    </row>
    <row r="428" spans="1:7" x14ac:dyDescent="0.25">
      <c r="A428" t="s">
        <v>280</v>
      </c>
      <c r="C428" t="str">
        <f>IF(Markets!B16="","",Markets!B16)</f>
        <v>TIPS 0–5 Years</v>
      </c>
      <c r="D428" t="s">
        <v>234</v>
      </c>
      <c r="E428" t="s">
        <v>24</v>
      </c>
      <c r="F428">
        <f>IF(OR(Markets!B16="",Markets!F16=""),"",Markets!F16)</f>
        <v>0.2</v>
      </c>
    </row>
    <row r="429" spans="1:7" x14ac:dyDescent="0.25">
      <c r="A429" t="s">
        <v>280</v>
      </c>
      <c r="C429" t="str">
        <f>IF(Markets!B16="","",Markets!B16)</f>
        <v>TIPS 0–5 Years</v>
      </c>
      <c r="D429" t="s">
        <v>234</v>
      </c>
      <c r="E429" t="s">
        <v>25</v>
      </c>
      <c r="F429">
        <f>IF(OR(Markets!B16="",Markets!G16=""),"",Markets!G16)</f>
        <v>1.8</v>
      </c>
    </row>
    <row r="430" spans="1:7" x14ac:dyDescent="0.25">
      <c r="A430" t="s">
        <v>280</v>
      </c>
      <c r="C430" t="str">
        <f>IF(Markets!B16="","",Markets!B16)</f>
        <v>TIPS 0–5 Years</v>
      </c>
      <c r="D430" t="s">
        <v>234</v>
      </c>
      <c r="E430" t="s">
        <v>26</v>
      </c>
      <c r="F430">
        <f>IF(OR(Markets!B16="",Markets!H16=""),"",Markets!H16)</f>
        <v>3.5</v>
      </c>
    </row>
    <row r="431" spans="1:7" x14ac:dyDescent="0.25">
      <c r="A431" t="s">
        <v>280</v>
      </c>
      <c r="C431" t="str">
        <f>IF(Markets!B16="","",Markets!B16)</f>
        <v>TIPS 0–5 Years</v>
      </c>
      <c r="D431" t="s">
        <v>234</v>
      </c>
      <c r="E431" t="s">
        <v>27</v>
      </c>
      <c r="F431">
        <f>IF(OR(Markets!B16="",Markets!I16=""),"",Markets!I16)</f>
        <v>5</v>
      </c>
    </row>
    <row r="432" spans="1:7" x14ac:dyDescent="0.25">
      <c r="A432" t="s">
        <v>280</v>
      </c>
      <c r="C432" t="str">
        <f>IF(Markets!B16="","",Markets!B16)</f>
        <v>TIPS 0–5 Years</v>
      </c>
      <c r="D432" t="s">
        <v>234</v>
      </c>
      <c r="E432" t="s">
        <v>28</v>
      </c>
      <c r="F432">
        <f>IF(OR(Markets!B16="",Markets!J16=""),"",Markets!J16)</f>
        <v>3.1</v>
      </c>
    </row>
    <row r="433" spans="1:7" x14ac:dyDescent="0.25">
      <c r="A433" t="s">
        <v>280</v>
      </c>
      <c r="C433" t="str">
        <f>IF(Markets!B16="","",Markets!B16)</f>
        <v>TIPS 0–5 Years</v>
      </c>
      <c r="D433" t="s">
        <v>234</v>
      </c>
      <c r="E433" t="s">
        <v>29</v>
      </c>
      <c r="F433">
        <f>IF(OR(Markets!B16="",Markets!K16=""),"",Markets!K16)</f>
        <v>3.1</v>
      </c>
    </row>
    <row r="434" spans="1:7" x14ac:dyDescent="0.25">
      <c r="A434" t="s">
        <v>280</v>
      </c>
      <c r="C434" t="str">
        <f>IF(Markets!B17="","",Markets!B17)</f>
        <v>Real Estate (ODCE, net)¹</v>
      </c>
      <c r="D434" t="s">
        <v>281</v>
      </c>
      <c r="G434" t="str">
        <f>IF(Markets!B17="","",Markets!A17)</f>
        <v>Real assets &amp; inflation hedges</v>
      </c>
    </row>
    <row r="435" spans="1:7" x14ac:dyDescent="0.25">
      <c r="A435" t="s">
        <v>280</v>
      </c>
      <c r="C435" t="str">
        <f>IF(Markets!B17="","",Markets!B17)</f>
        <v>Real Estate (ODCE, net)¹</v>
      </c>
      <c r="D435" t="s">
        <v>282</v>
      </c>
      <c r="G435" t="str">
        <f>IF(Markets!B17="","",Markets!C17)</f>
        <v>NCREIF Fund Index – ODCE (Net), latest available quarter</v>
      </c>
    </row>
    <row r="436" spans="1:7" x14ac:dyDescent="0.25">
      <c r="A436" t="s">
        <v>280</v>
      </c>
      <c r="C436" t="str">
        <f>IF(Markets!B17="","",Markets!B17)</f>
        <v>Real Estate (ODCE, net)¹</v>
      </c>
      <c r="D436" t="s">
        <v>234</v>
      </c>
      <c r="E436" t="s">
        <v>22</v>
      </c>
      <c r="F436">
        <f>IF(OR(Markets!B17="",Markets!D17=""),"",Markets!D17)</f>
        <v>0</v>
      </c>
    </row>
    <row r="437" spans="1:7" x14ac:dyDescent="0.25">
      <c r="A437" t="s">
        <v>280</v>
      </c>
      <c r="C437" t="str">
        <f>IF(Markets!B17="","",Markets!B17)</f>
        <v>Real Estate (ODCE, net)¹</v>
      </c>
      <c r="D437" t="s">
        <v>234</v>
      </c>
      <c r="E437" t="s">
        <v>23</v>
      </c>
      <c r="F437">
        <f>IF(OR(Markets!B17="",Markets!E17=""),"",Markets!E17)</f>
        <v>1.3</v>
      </c>
    </row>
    <row r="438" spans="1:7" x14ac:dyDescent="0.25">
      <c r="A438" t="s">
        <v>280</v>
      </c>
      <c r="C438" t="str">
        <f>IF(Markets!B17="","",Markets!B17)</f>
        <v>Real Estate (ODCE, net)¹</v>
      </c>
      <c r="D438" t="s">
        <v>234</v>
      </c>
      <c r="E438" t="s">
        <v>24</v>
      </c>
      <c r="F438">
        <f>IF(OR(Markets!B17="",Markets!F17=""),"",Markets!F17)</f>
        <v>0</v>
      </c>
    </row>
    <row r="439" spans="1:7" x14ac:dyDescent="0.25">
      <c r="A439" t="s">
        <v>280</v>
      </c>
      <c r="C439" t="str">
        <f>IF(Markets!B17="","",Markets!B17)</f>
        <v>Real Estate (ODCE, net)¹</v>
      </c>
      <c r="D439" t="s">
        <v>234</v>
      </c>
      <c r="E439" t="s">
        <v>25</v>
      </c>
      <c r="F439">
        <f>IF(OR(Markets!B17="",Markets!G17=""),"",Markets!G17)</f>
        <v>2.2999999999999998</v>
      </c>
    </row>
    <row r="440" spans="1:7" x14ac:dyDescent="0.25">
      <c r="A440" t="s">
        <v>280</v>
      </c>
      <c r="C440" t="str">
        <f>IF(Markets!B17="","",Markets!B17)</f>
        <v>Real Estate (ODCE, net)¹</v>
      </c>
      <c r="D440" t="s">
        <v>234</v>
      </c>
      <c r="E440" t="s">
        <v>26</v>
      </c>
      <c r="F440">
        <f>IF(OR(Markets!B17="",Markets!H17=""),"",Markets!H17)</f>
        <v>3.6</v>
      </c>
    </row>
    <row r="441" spans="1:7" x14ac:dyDescent="0.25">
      <c r="A441" t="s">
        <v>280</v>
      </c>
      <c r="C441" t="str">
        <f>IF(Markets!B17="","",Markets!B17)</f>
        <v>Real Estate (ODCE, net)¹</v>
      </c>
      <c r="D441" t="s">
        <v>234</v>
      </c>
      <c r="E441" t="s">
        <v>27</v>
      </c>
      <c r="F441">
        <f>IF(OR(Markets!B17="",Markets!I17=""),"",Markets!I17)</f>
        <v>-1.4</v>
      </c>
    </row>
    <row r="442" spans="1:7" x14ac:dyDescent="0.25">
      <c r="A442" t="s">
        <v>280</v>
      </c>
      <c r="C442" t="str">
        <f>IF(Markets!B17="","",Markets!B17)</f>
        <v>Real Estate (ODCE, net)¹</v>
      </c>
      <c r="D442" t="s">
        <v>234</v>
      </c>
      <c r="E442" t="s">
        <v>28</v>
      </c>
      <c r="F442">
        <f>IF(OR(Markets!B17="",Markets!J17=""),"",Markets!J17)</f>
        <v>1.9</v>
      </c>
    </row>
    <row r="443" spans="1:7" x14ac:dyDescent="0.25">
      <c r="A443" t="s">
        <v>280</v>
      </c>
      <c r="C443" t="str">
        <f>IF(Markets!B17="","",Markets!B17)</f>
        <v>Real Estate (ODCE, net)¹</v>
      </c>
      <c r="D443" t="s">
        <v>234</v>
      </c>
      <c r="E443" t="s">
        <v>29</v>
      </c>
      <c r="F443">
        <f>IF(OR(Markets!B17="",Markets!K17=""),"",Markets!K17)</f>
        <v>3.7</v>
      </c>
    </row>
    <row r="444" spans="1:7" x14ac:dyDescent="0.25">
      <c r="A444" t="s">
        <v>280</v>
      </c>
      <c r="C444" t="str">
        <f>IF(Markets!B18="","",Markets!B18)</f>
        <v/>
      </c>
      <c r="D444" t="s">
        <v>281</v>
      </c>
      <c r="G444" t="str">
        <f>IF(Markets!B18="","",Markets!A18)</f>
        <v/>
      </c>
    </row>
    <row r="445" spans="1:7" x14ac:dyDescent="0.25">
      <c r="A445" t="s">
        <v>280</v>
      </c>
      <c r="C445" t="str">
        <f>IF(Markets!B18="","",Markets!B18)</f>
        <v/>
      </c>
      <c r="D445" t="s">
        <v>282</v>
      </c>
      <c r="G445" t="str">
        <f>IF(Markets!B18="","",Markets!C18)</f>
        <v/>
      </c>
    </row>
    <row r="446" spans="1:7" x14ac:dyDescent="0.25">
      <c r="A446" t="s">
        <v>280</v>
      </c>
      <c r="C446" t="str">
        <f>IF(Markets!B18="","",Markets!B18)</f>
        <v/>
      </c>
      <c r="D446" t="s">
        <v>234</v>
      </c>
      <c r="E446" t="s">
        <v>22</v>
      </c>
      <c r="F446" t="str">
        <f>IF(OR(Markets!B18="",Markets!D18=""),"",Markets!D18)</f>
        <v/>
      </c>
    </row>
    <row r="447" spans="1:7" x14ac:dyDescent="0.25">
      <c r="A447" t="s">
        <v>280</v>
      </c>
      <c r="C447" t="str">
        <f>IF(Markets!B18="","",Markets!B18)</f>
        <v/>
      </c>
      <c r="D447" t="s">
        <v>234</v>
      </c>
      <c r="E447" t="s">
        <v>23</v>
      </c>
      <c r="F447" t="str">
        <f>IF(OR(Markets!B18="",Markets!E18=""),"",Markets!E18)</f>
        <v/>
      </c>
    </row>
    <row r="448" spans="1:7" x14ac:dyDescent="0.25">
      <c r="A448" t="s">
        <v>280</v>
      </c>
      <c r="C448" t="str">
        <f>IF(Markets!B18="","",Markets!B18)</f>
        <v/>
      </c>
      <c r="D448" t="s">
        <v>234</v>
      </c>
      <c r="E448" t="s">
        <v>24</v>
      </c>
      <c r="F448" t="str">
        <f>IF(OR(Markets!B18="",Markets!F18=""),"",Markets!F18)</f>
        <v/>
      </c>
    </row>
    <row r="449" spans="1:7" x14ac:dyDescent="0.25">
      <c r="A449" t="s">
        <v>280</v>
      </c>
      <c r="C449" t="str">
        <f>IF(Markets!B18="","",Markets!B18)</f>
        <v/>
      </c>
      <c r="D449" t="s">
        <v>234</v>
      </c>
      <c r="E449" t="s">
        <v>25</v>
      </c>
      <c r="F449" t="str">
        <f>IF(OR(Markets!B18="",Markets!G18=""),"",Markets!G18)</f>
        <v/>
      </c>
    </row>
    <row r="450" spans="1:7" x14ac:dyDescent="0.25">
      <c r="A450" t="s">
        <v>280</v>
      </c>
      <c r="C450" t="str">
        <f>IF(Markets!B18="","",Markets!B18)</f>
        <v/>
      </c>
      <c r="D450" t="s">
        <v>234</v>
      </c>
      <c r="E450" t="s">
        <v>26</v>
      </c>
      <c r="F450" t="str">
        <f>IF(OR(Markets!B18="",Markets!H18=""),"",Markets!H18)</f>
        <v/>
      </c>
    </row>
    <row r="451" spans="1:7" x14ac:dyDescent="0.25">
      <c r="A451" t="s">
        <v>280</v>
      </c>
      <c r="C451" t="str">
        <f>IF(Markets!B18="","",Markets!B18)</f>
        <v/>
      </c>
      <c r="D451" t="s">
        <v>234</v>
      </c>
      <c r="E451" t="s">
        <v>27</v>
      </c>
      <c r="F451" t="str">
        <f>IF(OR(Markets!B18="",Markets!I18=""),"",Markets!I18)</f>
        <v/>
      </c>
    </row>
    <row r="452" spans="1:7" x14ac:dyDescent="0.25">
      <c r="A452" t="s">
        <v>280</v>
      </c>
      <c r="C452" t="str">
        <f>IF(Markets!B18="","",Markets!B18)</f>
        <v/>
      </c>
      <c r="D452" t="s">
        <v>234</v>
      </c>
      <c r="E452" t="s">
        <v>28</v>
      </c>
      <c r="F452" t="str">
        <f>IF(OR(Markets!B18="",Markets!J18=""),"",Markets!J18)</f>
        <v/>
      </c>
    </row>
    <row r="453" spans="1:7" x14ac:dyDescent="0.25">
      <c r="A453" t="s">
        <v>280</v>
      </c>
      <c r="C453" t="str">
        <f>IF(Markets!B18="","",Markets!B18)</f>
        <v/>
      </c>
      <c r="D453" t="s">
        <v>234</v>
      </c>
      <c r="E453" t="s">
        <v>29</v>
      </c>
      <c r="F453" t="str">
        <f>IF(OR(Markets!B18="",Markets!K18=""),"",Markets!K18)</f>
        <v/>
      </c>
    </row>
    <row r="454" spans="1:7" x14ac:dyDescent="0.25">
      <c r="A454" t="s">
        <v>280</v>
      </c>
      <c r="C454" t="str">
        <f>IF(Markets!B19="","",Markets!B19)</f>
        <v/>
      </c>
      <c r="D454" t="s">
        <v>281</v>
      </c>
      <c r="G454" t="str">
        <f>IF(Markets!B19="","",Markets!A19)</f>
        <v/>
      </c>
    </row>
    <row r="455" spans="1:7" x14ac:dyDescent="0.25">
      <c r="A455" t="s">
        <v>280</v>
      </c>
      <c r="C455" t="str">
        <f>IF(Markets!B19="","",Markets!B19)</f>
        <v/>
      </c>
      <c r="D455" t="s">
        <v>282</v>
      </c>
      <c r="G455" t="str">
        <f>IF(Markets!B19="","",Markets!C19)</f>
        <v/>
      </c>
    </row>
    <row r="456" spans="1:7" x14ac:dyDescent="0.25">
      <c r="A456" t="s">
        <v>280</v>
      </c>
      <c r="C456" t="str">
        <f>IF(Markets!B19="","",Markets!B19)</f>
        <v/>
      </c>
      <c r="D456" t="s">
        <v>234</v>
      </c>
      <c r="E456" t="s">
        <v>22</v>
      </c>
      <c r="F456" t="str">
        <f>IF(OR(Markets!B19="",Markets!D19=""),"",Markets!D19)</f>
        <v/>
      </c>
    </row>
    <row r="457" spans="1:7" x14ac:dyDescent="0.25">
      <c r="A457" t="s">
        <v>280</v>
      </c>
      <c r="C457" t="str">
        <f>IF(Markets!B19="","",Markets!B19)</f>
        <v/>
      </c>
      <c r="D457" t="s">
        <v>234</v>
      </c>
      <c r="E457" t="s">
        <v>23</v>
      </c>
      <c r="F457" t="str">
        <f>IF(OR(Markets!B19="",Markets!E19=""),"",Markets!E19)</f>
        <v/>
      </c>
    </row>
    <row r="458" spans="1:7" x14ac:dyDescent="0.25">
      <c r="A458" t="s">
        <v>280</v>
      </c>
      <c r="C458" t="str">
        <f>IF(Markets!B19="","",Markets!B19)</f>
        <v/>
      </c>
      <c r="D458" t="s">
        <v>234</v>
      </c>
      <c r="E458" t="s">
        <v>24</v>
      </c>
      <c r="F458" t="str">
        <f>IF(OR(Markets!B19="",Markets!F19=""),"",Markets!F19)</f>
        <v/>
      </c>
    </row>
    <row r="459" spans="1:7" x14ac:dyDescent="0.25">
      <c r="A459" t="s">
        <v>280</v>
      </c>
      <c r="C459" t="str">
        <f>IF(Markets!B19="","",Markets!B19)</f>
        <v/>
      </c>
      <c r="D459" t="s">
        <v>234</v>
      </c>
      <c r="E459" t="s">
        <v>25</v>
      </c>
      <c r="F459" t="str">
        <f>IF(OR(Markets!B19="",Markets!G19=""),"",Markets!G19)</f>
        <v/>
      </c>
    </row>
    <row r="460" spans="1:7" x14ac:dyDescent="0.25">
      <c r="A460" t="s">
        <v>280</v>
      </c>
      <c r="C460" t="str">
        <f>IF(Markets!B19="","",Markets!B19)</f>
        <v/>
      </c>
      <c r="D460" t="s">
        <v>234</v>
      </c>
      <c r="E460" t="s">
        <v>26</v>
      </c>
      <c r="F460" t="str">
        <f>IF(OR(Markets!B19="",Markets!H19=""),"",Markets!H19)</f>
        <v/>
      </c>
    </row>
    <row r="461" spans="1:7" x14ac:dyDescent="0.25">
      <c r="A461" t="s">
        <v>280</v>
      </c>
      <c r="C461" t="str">
        <f>IF(Markets!B19="","",Markets!B19)</f>
        <v/>
      </c>
      <c r="D461" t="s">
        <v>234</v>
      </c>
      <c r="E461" t="s">
        <v>27</v>
      </c>
      <c r="F461" t="str">
        <f>IF(OR(Markets!B19="",Markets!I19=""),"",Markets!I19)</f>
        <v/>
      </c>
    </row>
    <row r="462" spans="1:7" x14ac:dyDescent="0.25">
      <c r="A462" t="s">
        <v>280</v>
      </c>
      <c r="C462" t="str">
        <f>IF(Markets!B19="","",Markets!B19)</f>
        <v/>
      </c>
      <c r="D462" t="s">
        <v>234</v>
      </c>
      <c r="E462" t="s">
        <v>28</v>
      </c>
      <c r="F462" t="str">
        <f>IF(OR(Markets!B19="",Markets!J19=""),"",Markets!J19)</f>
        <v/>
      </c>
    </row>
    <row r="463" spans="1:7" x14ac:dyDescent="0.25">
      <c r="A463" t="s">
        <v>280</v>
      </c>
      <c r="C463" t="str">
        <f>IF(Markets!B19="","",Markets!B19)</f>
        <v/>
      </c>
      <c r="D463" t="s">
        <v>234</v>
      </c>
      <c r="E463" t="s">
        <v>29</v>
      </c>
      <c r="F463" t="str">
        <f>IF(OR(Markets!B19="",Markets!K19=""),"",Markets!K19)</f>
        <v/>
      </c>
    </row>
    <row r="464" spans="1:7" x14ac:dyDescent="0.25">
      <c r="A464" t="s">
        <v>280</v>
      </c>
      <c r="C464" t="str">
        <f>IF(Markets!B20="","",Markets!B20)</f>
        <v/>
      </c>
      <c r="D464" t="s">
        <v>281</v>
      </c>
      <c r="G464" t="str">
        <f>IF(Markets!B20="","",Markets!A20)</f>
        <v/>
      </c>
    </row>
    <row r="465" spans="1:7" x14ac:dyDescent="0.25">
      <c r="A465" t="s">
        <v>280</v>
      </c>
      <c r="C465" t="str">
        <f>IF(Markets!B20="","",Markets!B20)</f>
        <v/>
      </c>
      <c r="D465" t="s">
        <v>282</v>
      </c>
      <c r="G465" t="str">
        <f>IF(Markets!B20="","",Markets!C20)</f>
        <v/>
      </c>
    </row>
    <row r="466" spans="1:7" x14ac:dyDescent="0.25">
      <c r="A466" t="s">
        <v>280</v>
      </c>
      <c r="C466" t="str">
        <f>IF(Markets!B20="","",Markets!B20)</f>
        <v/>
      </c>
      <c r="D466" t="s">
        <v>234</v>
      </c>
      <c r="E466" t="s">
        <v>22</v>
      </c>
      <c r="F466" t="str">
        <f>IF(OR(Markets!B20="",Markets!D20=""),"",Markets!D20)</f>
        <v/>
      </c>
    </row>
    <row r="467" spans="1:7" x14ac:dyDescent="0.25">
      <c r="A467" t="s">
        <v>280</v>
      </c>
      <c r="C467" t="str">
        <f>IF(Markets!B20="","",Markets!B20)</f>
        <v/>
      </c>
      <c r="D467" t="s">
        <v>234</v>
      </c>
      <c r="E467" t="s">
        <v>23</v>
      </c>
      <c r="F467" t="str">
        <f>IF(OR(Markets!B20="",Markets!E20=""),"",Markets!E20)</f>
        <v/>
      </c>
    </row>
    <row r="468" spans="1:7" x14ac:dyDescent="0.25">
      <c r="A468" t="s">
        <v>280</v>
      </c>
      <c r="C468" t="str">
        <f>IF(Markets!B20="","",Markets!B20)</f>
        <v/>
      </c>
      <c r="D468" t="s">
        <v>234</v>
      </c>
      <c r="E468" t="s">
        <v>24</v>
      </c>
      <c r="F468" t="str">
        <f>IF(OR(Markets!B20="",Markets!F20=""),"",Markets!F20)</f>
        <v/>
      </c>
    </row>
    <row r="469" spans="1:7" x14ac:dyDescent="0.25">
      <c r="A469" t="s">
        <v>280</v>
      </c>
      <c r="C469" t="str">
        <f>IF(Markets!B20="","",Markets!B20)</f>
        <v/>
      </c>
      <c r="D469" t="s">
        <v>234</v>
      </c>
      <c r="E469" t="s">
        <v>25</v>
      </c>
      <c r="F469" t="str">
        <f>IF(OR(Markets!B20="",Markets!G20=""),"",Markets!G20)</f>
        <v/>
      </c>
    </row>
    <row r="470" spans="1:7" x14ac:dyDescent="0.25">
      <c r="A470" t="s">
        <v>280</v>
      </c>
      <c r="C470" t="str">
        <f>IF(Markets!B20="","",Markets!B20)</f>
        <v/>
      </c>
      <c r="D470" t="s">
        <v>234</v>
      </c>
      <c r="E470" t="s">
        <v>26</v>
      </c>
      <c r="F470" t="str">
        <f>IF(OR(Markets!B20="",Markets!H20=""),"",Markets!H20)</f>
        <v/>
      </c>
    </row>
    <row r="471" spans="1:7" x14ac:dyDescent="0.25">
      <c r="A471" t="s">
        <v>280</v>
      </c>
      <c r="C471" t="str">
        <f>IF(Markets!B20="","",Markets!B20)</f>
        <v/>
      </c>
      <c r="D471" t="s">
        <v>234</v>
      </c>
      <c r="E471" t="s">
        <v>27</v>
      </c>
      <c r="F471" t="str">
        <f>IF(OR(Markets!B20="",Markets!I20=""),"",Markets!I20)</f>
        <v/>
      </c>
    </row>
    <row r="472" spans="1:7" x14ac:dyDescent="0.25">
      <c r="A472" t="s">
        <v>280</v>
      </c>
      <c r="C472" t="str">
        <f>IF(Markets!B20="","",Markets!B20)</f>
        <v/>
      </c>
      <c r="D472" t="s">
        <v>234</v>
      </c>
      <c r="E472" t="s">
        <v>28</v>
      </c>
      <c r="F472" t="str">
        <f>IF(OR(Markets!B20="",Markets!J20=""),"",Markets!J20)</f>
        <v/>
      </c>
    </row>
    <row r="473" spans="1:7" x14ac:dyDescent="0.25">
      <c r="A473" t="s">
        <v>280</v>
      </c>
      <c r="C473" t="str">
        <f>IF(Markets!B20="","",Markets!B20)</f>
        <v/>
      </c>
      <c r="D473" t="s">
        <v>234</v>
      </c>
      <c r="E473" t="s">
        <v>29</v>
      </c>
      <c r="F473" t="str">
        <f>IF(OR(Markets!B20="",Markets!K20=""),"",Markets!K20)</f>
        <v/>
      </c>
    </row>
    <row r="474" spans="1:7" x14ac:dyDescent="0.25">
      <c r="A474" t="s">
        <v>280</v>
      </c>
      <c r="C474" t="str">
        <f>IF(Markets!B21="","",Markets!B21)</f>
        <v/>
      </c>
      <c r="D474" t="s">
        <v>281</v>
      </c>
      <c r="G474" t="str">
        <f>IF(Markets!B21="","",Markets!A21)</f>
        <v/>
      </c>
    </row>
    <row r="475" spans="1:7" x14ac:dyDescent="0.25">
      <c r="A475" t="s">
        <v>280</v>
      </c>
      <c r="C475" t="str">
        <f>IF(Markets!B21="","",Markets!B21)</f>
        <v/>
      </c>
      <c r="D475" t="s">
        <v>282</v>
      </c>
      <c r="G475" t="str">
        <f>IF(Markets!B21="","",Markets!C21)</f>
        <v/>
      </c>
    </row>
    <row r="476" spans="1:7" x14ac:dyDescent="0.25">
      <c r="A476" t="s">
        <v>280</v>
      </c>
      <c r="C476" t="str">
        <f>IF(Markets!B21="","",Markets!B21)</f>
        <v/>
      </c>
      <c r="D476" t="s">
        <v>234</v>
      </c>
      <c r="E476" t="s">
        <v>22</v>
      </c>
      <c r="F476" t="str">
        <f>IF(OR(Markets!B21="",Markets!D21=""),"",Markets!D21)</f>
        <v/>
      </c>
    </row>
    <row r="477" spans="1:7" x14ac:dyDescent="0.25">
      <c r="A477" t="s">
        <v>280</v>
      </c>
      <c r="C477" t="str">
        <f>IF(Markets!B21="","",Markets!B21)</f>
        <v/>
      </c>
      <c r="D477" t="s">
        <v>234</v>
      </c>
      <c r="E477" t="s">
        <v>23</v>
      </c>
      <c r="F477" t="str">
        <f>IF(OR(Markets!B21="",Markets!E21=""),"",Markets!E21)</f>
        <v/>
      </c>
    </row>
    <row r="478" spans="1:7" x14ac:dyDescent="0.25">
      <c r="A478" t="s">
        <v>280</v>
      </c>
      <c r="C478" t="str">
        <f>IF(Markets!B21="","",Markets!B21)</f>
        <v/>
      </c>
      <c r="D478" t="s">
        <v>234</v>
      </c>
      <c r="E478" t="s">
        <v>24</v>
      </c>
      <c r="F478" t="str">
        <f>IF(OR(Markets!B21="",Markets!F21=""),"",Markets!F21)</f>
        <v/>
      </c>
    </row>
    <row r="479" spans="1:7" x14ac:dyDescent="0.25">
      <c r="A479" t="s">
        <v>280</v>
      </c>
      <c r="C479" t="str">
        <f>IF(Markets!B21="","",Markets!B21)</f>
        <v/>
      </c>
      <c r="D479" t="s">
        <v>234</v>
      </c>
      <c r="E479" t="s">
        <v>25</v>
      </c>
      <c r="F479" t="str">
        <f>IF(OR(Markets!B21="",Markets!G21=""),"",Markets!G21)</f>
        <v/>
      </c>
    </row>
    <row r="480" spans="1:7" x14ac:dyDescent="0.25">
      <c r="A480" t="s">
        <v>280</v>
      </c>
      <c r="C480" t="str">
        <f>IF(Markets!B21="","",Markets!B21)</f>
        <v/>
      </c>
      <c r="D480" t="s">
        <v>234</v>
      </c>
      <c r="E480" t="s">
        <v>26</v>
      </c>
      <c r="F480" t="str">
        <f>IF(OR(Markets!B21="",Markets!H21=""),"",Markets!H21)</f>
        <v/>
      </c>
    </row>
    <row r="481" spans="1:7" x14ac:dyDescent="0.25">
      <c r="A481" t="s">
        <v>280</v>
      </c>
      <c r="C481" t="str">
        <f>IF(Markets!B21="","",Markets!B21)</f>
        <v/>
      </c>
      <c r="D481" t="s">
        <v>234</v>
      </c>
      <c r="E481" t="s">
        <v>27</v>
      </c>
      <c r="F481" t="str">
        <f>IF(OR(Markets!B21="",Markets!I21=""),"",Markets!I21)</f>
        <v/>
      </c>
    </row>
    <row r="482" spans="1:7" x14ac:dyDescent="0.25">
      <c r="A482" t="s">
        <v>280</v>
      </c>
      <c r="C482" t="str">
        <f>IF(Markets!B21="","",Markets!B21)</f>
        <v/>
      </c>
      <c r="D482" t="s">
        <v>234</v>
      </c>
      <c r="E482" t="s">
        <v>28</v>
      </c>
      <c r="F482" t="str">
        <f>IF(OR(Markets!B21="",Markets!J21=""),"",Markets!J21)</f>
        <v/>
      </c>
    </row>
    <row r="483" spans="1:7" x14ac:dyDescent="0.25">
      <c r="A483" t="s">
        <v>280</v>
      </c>
      <c r="C483" t="str">
        <f>IF(Markets!B21="","",Markets!B21)</f>
        <v/>
      </c>
      <c r="D483" t="s">
        <v>234</v>
      </c>
      <c r="E483" t="s">
        <v>29</v>
      </c>
      <c r="F483" t="str">
        <f>IF(OR(Markets!B21="",Markets!K21=""),"",Markets!K21)</f>
        <v/>
      </c>
    </row>
    <row r="484" spans="1:7" x14ac:dyDescent="0.25">
      <c r="A484" t="s">
        <v>280</v>
      </c>
      <c r="C484" t="str">
        <f>IF(Markets!B22="","",Markets!B22)</f>
        <v/>
      </c>
      <c r="D484" t="s">
        <v>281</v>
      </c>
      <c r="G484" t="str">
        <f>IF(Markets!B22="","",Markets!A22)</f>
        <v/>
      </c>
    </row>
    <row r="485" spans="1:7" x14ac:dyDescent="0.25">
      <c r="A485" t="s">
        <v>280</v>
      </c>
      <c r="C485" t="str">
        <f>IF(Markets!B22="","",Markets!B22)</f>
        <v/>
      </c>
      <c r="D485" t="s">
        <v>282</v>
      </c>
      <c r="G485" t="str">
        <f>IF(Markets!B22="","",Markets!C22)</f>
        <v/>
      </c>
    </row>
    <row r="486" spans="1:7" x14ac:dyDescent="0.25">
      <c r="A486" t="s">
        <v>280</v>
      </c>
      <c r="C486" t="str">
        <f>IF(Markets!B22="","",Markets!B22)</f>
        <v/>
      </c>
      <c r="D486" t="s">
        <v>234</v>
      </c>
      <c r="E486" t="s">
        <v>22</v>
      </c>
      <c r="F486" t="str">
        <f>IF(OR(Markets!B22="",Markets!D22=""),"",Markets!D22)</f>
        <v/>
      </c>
    </row>
    <row r="487" spans="1:7" x14ac:dyDescent="0.25">
      <c r="A487" t="s">
        <v>280</v>
      </c>
      <c r="C487" t="str">
        <f>IF(Markets!B22="","",Markets!B22)</f>
        <v/>
      </c>
      <c r="D487" t="s">
        <v>234</v>
      </c>
      <c r="E487" t="s">
        <v>23</v>
      </c>
      <c r="F487" t="str">
        <f>IF(OR(Markets!B22="",Markets!E22=""),"",Markets!E22)</f>
        <v/>
      </c>
    </row>
    <row r="488" spans="1:7" x14ac:dyDescent="0.25">
      <c r="A488" t="s">
        <v>280</v>
      </c>
      <c r="C488" t="str">
        <f>IF(Markets!B22="","",Markets!B22)</f>
        <v/>
      </c>
      <c r="D488" t="s">
        <v>234</v>
      </c>
      <c r="E488" t="s">
        <v>24</v>
      </c>
      <c r="F488" t="str">
        <f>IF(OR(Markets!B22="",Markets!F22=""),"",Markets!F22)</f>
        <v/>
      </c>
    </row>
    <row r="489" spans="1:7" x14ac:dyDescent="0.25">
      <c r="A489" t="s">
        <v>280</v>
      </c>
      <c r="C489" t="str">
        <f>IF(Markets!B22="","",Markets!B22)</f>
        <v/>
      </c>
      <c r="D489" t="s">
        <v>234</v>
      </c>
      <c r="E489" t="s">
        <v>25</v>
      </c>
      <c r="F489" t="str">
        <f>IF(OR(Markets!B22="",Markets!G22=""),"",Markets!G22)</f>
        <v/>
      </c>
    </row>
    <row r="490" spans="1:7" x14ac:dyDescent="0.25">
      <c r="A490" t="s">
        <v>280</v>
      </c>
      <c r="C490" t="str">
        <f>IF(Markets!B22="","",Markets!B22)</f>
        <v/>
      </c>
      <c r="D490" t="s">
        <v>234</v>
      </c>
      <c r="E490" t="s">
        <v>26</v>
      </c>
      <c r="F490" t="str">
        <f>IF(OR(Markets!B22="",Markets!H22=""),"",Markets!H22)</f>
        <v/>
      </c>
    </row>
    <row r="491" spans="1:7" x14ac:dyDescent="0.25">
      <c r="A491" t="s">
        <v>280</v>
      </c>
      <c r="C491" t="str">
        <f>IF(Markets!B22="","",Markets!B22)</f>
        <v/>
      </c>
      <c r="D491" t="s">
        <v>234</v>
      </c>
      <c r="E491" t="s">
        <v>27</v>
      </c>
      <c r="F491" t="str">
        <f>IF(OR(Markets!B22="",Markets!I22=""),"",Markets!I22)</f>
        <v/>
      </c>
    </row>
    <row r="492" spans="1:7" x14ac:dyDescent="0.25">
      <c r="A492" t="s">
        <v>280</v>
      </c>
      <c r="C492" t="str">
        <f>IF(Markets!B22="","",Markets!B22)</f>
        <v/>
      </c>
      <c r="D492" t="s">
        <v>234</v>
      </c>
      <c r="E492" t="s">
        <v>28</v>
      </c>
      <c r="F492" t="str">
        <f>IF(OR(Markets!B22="",Markets!J22=""),"",Markets!J22)</f>
        <v/>
      </c>
    </row>
    <row r="493" spans="1:7" x14ac:dyDescent="0.25">
      <c r="A493" t="s">
        <v>280</v>
      </c>
      <c r="C493" t="str">
        <f>IF(Markets!B22="","",Markets!B22)</f>
        <v/>
      </c>
      <c r="D493" t="s">
        <v>234</v>
      </c>
      <c r="E493" t="s">
        <v>29</v>
      </c>
      <c r="F493" t="str">
        <f>IF(OR(Markets!B22="",Markets!K22=""),"",Markets!K22)</f>
        <v/>
      </c>
    </row>
    <row r="494" spans="1:7" x14ac:dyDescent="0.25">
      <c r="A494" t="s">
        <v>280</v>
      </c>
      <c r="C494" t="str">
        <f>IF(Markets!B23="","",Markets!B23)</f>
        <v/>
      </c>
      <c r="D494" t="s">
        <v>281</v>
      </c>
      <c r="G494" t="str">
        <f>IF(Markets!B23="","",Markets!A23)</f>
        <v/>
      </c>
    </row>
    <row r="495" spans="1:7" x14ac:dyDescent="0.25">
      <c r="A495" t="s">
        <v>280</v>
      </c>
      <c r="C495" t="str">
        <f>IF(Markets!B23="","",Markets!B23)</f>
        <v/>
      </c>
      <c r="D495" t="s">
        <v>282</v>
      </c>
      <c r="G495" t="str">
        <f>IF(Markets!B23="","",Markets!C23)</f>
        <v/>
      </c>
    </row>
    <row r="496" spans="1:7" x14ac:dyDescent="0.25">
      <c r="A496" t="s">
        <v>280</v>
      </c>
      <c r="C496" t="str">
        <f>IF(Markets!B23="","",Markets!B23)</f>
        <v/>
      </c>
      <c r="D496" t="s">
        <v>234</v>
      </c>
      <c r="E496" t="s">
        <v>22</v>
      </c>
      <c r="F496" t="str">
        <f>IF(OR(Markets!B23="",Markets!D23=""),"",Markets!D23)</f>
        <v/>
      </c>
    </row>
    <row r="497" spans="1:7" x14ac:dyDescent="0.25">
      <c r="A497" t="s">
        <v>280</v>
      </c>
      <c r="C497" t="str">
        <f>IF(Markets!B23="","",Markets!B23)</f>
        <v/>
      </c>
      <c r="D497" t="s">
        <v>234</v>
      </c>
      <c r="E497" t="s">
        <v>23</v>
      </c>
      <c r="F497" t="str">
        <f>IF(OR(Markets!B23="",Markets!E23=""),"",Markets!E23)</f>
        <v/>
      </c>
    </row>
    <row r="498" spans="1:7" x14ac:dyDescent="0.25">
      <c r="A498" t="s">
        <v>280</v>
      </c>
      <c r="C498" t="str">
        <f>IF(Markets!B23="","",Markets!B23)</f>
        <v/>
      </c>
      <c r="D498" t="s">
        <v>234</v>
      </c>
      <c r="E498" t="s">
        <v>24</v>
      </c>
      <c r="F498" t="str">
        <f>IF(OR(Markets!B23="",Markets!F23=""),"",Markets!F23)</f>
        <v/>
      </c>
    </row>
    <row r="499" spans="1:7" x14ac:dyDescent="0.25">
      <c r="A499" t="s">
        <v>280</v>
      </c>
      <c r="C499" t="str">
        <f>IF(Markets!B23="","",Markets!B23)</f>
        <v/>
      </c>
      <c r="D499" t="s">
        <v>234</v>
      </c>
      <c r="E499" t="s">
        <v>25</v>
      </c>
      <c r="F499" t="str">
        <f>IF(OR(Markets!B23="",Markets!G23=""),"",Markets!G23)</f>
        <v/>
      </c>
    </row>
    <row r="500" spans="1:7" x14ac:dyDescent="0.25">
      <c r="A500" t="s">
        <v>280</v>
      </c>
      <c r="C500" t="str">
        <f>IF(Markets!B23="","",Markets!B23)</f>
        <v/>
      </c>
      <c r="D500" t="s">
        <v>234</v>
      </c>
      <c r="E500" t="s">
        <v>26</v>
      </c>
      <c r="F500" t="str">
        <f>IF(OR(Markets!B23="",Markets!H23=""),"",Markets!H23)</f>
        <v/>
      </c>
    </row>
    <row r="501" spans="1:7" x14ac:dyDescent="0.25">
      <c r="A501" t="s">
        <v>280</v>
      </c>
      <c r="C501" t="str">
        <f>IF(Markets!B23="","",Markets!B23)</f>
        <v/>
      </c>
      <c r="D501" t="s">
        <v>234</v>
      </c>
      <c r="E501" t="s">
        <v>27</v>
      </c>
      <c r="F501" t="str">
        <f>IF(OR(Markets!B23="",Markets!I23=""),"",Markets!I23)</f>
        <v/>
      </c>
    </row>
    <row r="502" spans="1:7" x14ac:dyDescent="0.25">
      <c r="A502" t="s">
        <v>280</v>
      </c>
      <c r="C502" t="str">
        <f>IF(Markets!B23="","",Markets!B23)</f>
        <v/>
      </c>
      <c r="D502" t="s">
        <v>234</v>
      </c>
      <c r="E502" t="s">
        <v>28</v>
      </c>
      <c r="F502" t="str">
        <f>IF(OR(Markets!B23="",Markets!J23=""),"",Markets!J23)</f>
        <v/>
      </c>
    </row>
    <row r="503" spans="1:7" x14ac:dyDescent="0.25">
      <c r="A503" t="s">
        <v>280</v>
      </c>
      <c r="C503" t="str">
        <f>IF(Markets!B23="","",Markets!B23)</f>
        <v/>
      </c>
      <c r="D503" t="s">
        <v>234</v>
      </c>
      <c r="E503" t="s">
        <v>29</v>
      </c>
      <c r="F503" t="str">
        <f>IF(OR(Markets!B23="",Markets!K23=""),"",Markets!K23)</f>
        <v/>
      </c>
    </row>
    <row r="504" spans="1:7" x14ac:dyDescent="0.25">
      <c r="A504" t="s">
        <v>280</v>
      </c>
      <c r="C504" t="str">
        <f>IF(Markets!B24="","",Markets!B24)</f>
        <v/>
      </c>
      <c r="D504" t="s">
        <v>281</v>
      </c>
      <c r="G504" t="str">
        <f>IF(Markets!B24="","",Markets!A24)</f>
        <v/>
      </c>
    </row>
    <row r="505" spans="1:7" x14ac:dyDescent="0.25">
      <c r="A505" t="s">
        <v>280</v>
      </c>
      <c r="C505" t="str">
        <f>IF(Markets!B24="","",Markets!B24)</f>
        <v/>
      </c>
      <c r="D505" t="s">
        <v>282</v>
      </c>
      <c r="G505" t="str">
        <f>IF(Markets!B24="","",Markets!C24)</f>
        <v/>
      </c>
    </row>
    <row r="506" spans="1:7" x14ac:dyDescent="0.25">
      <c r="A506" t="s">
        <v>280</v>
      </c>
      <c r="C506" t="str">
        <f>IF(Markets!B24="","",Markets!B24)</f>
        <v/>
      </c>
      <c r="D506" t="s">
        <v>234</v>
      </c>
      <c r="E506" t="s">
        <v>22</v>
      </c>
      <c r="F506" t="str">
        <f>IF(OR(Markets!B24="",Markets!D24=""),"",Markets!D24)</f>
        <v/>
      </c>
    </row>
    <row r="507" spans="1:7" x14ac:dyDescent="0.25">
      <c r="A507" t="s">
        <v>280</v>
      </c>
      <c r="C507" t="str">
        <f>IF(Markets!B24="","",Markets!B24)</f>
        <v/>
      </c>
      <c r="D507" t="s">
        <v>234</v>
      </c>
      <c r="E507" t="s">
        <v>23</v>
      </c>
      <c r="F507" t="str">
        <f>IF(OR(Markets!B24="",Markets!E24=""),"",Markets!E24)</f>
        <v/>
      </c>
    </row>
    <row r="508" spans="1:7" x14ac:dyDescent="0.25">
      <c r="A508" t="s">
        <v>280</v>
      </c>
      <c r="C508" t="str">
        <f>IF(Markets!B24="","",Markets!B24)</f>
        <v/>
      </c>
      <c r="D508" t="s">
        <v>234</v>
      </c>
      <c r="E508" t="s">
        <v>24</v>
      </c>
      <c r="F508" t="str">
        <f>IF(OR(Markets!B24="",Markets!F24=""),"",Markets!F24)</f>
        <v/>
      </c>
    </row>
    <row r="509" spans="1:7" x14ac:dyDescent="0.25">
      <c r="A509" t="s">
        <v>280</v>
      </c>
      <c r="C509" t="str">
        <f>IF(Markets!B24="","",Markets!B24)</f>
        <v/>
      </c>
      <c r="D509" t="s">
        <v>234</v>
      </c>
      <c r="E509" t="s">
        <v>25</v>
      </c>
      <c r="F509" t="str">
        <f>IF(OR(Markets!B24="",Markets!G24=""),"",Markets!G24)</f>
        <v/>
      </c>
    </row>
    <row r="510" spans="1:7" x14ac:dyDescent="0.25">
      <c r="A510" t="s">
        <v>280</v>
      </c>
      <c r="C510" t="str">
        <f>IF(Markets!B24="","",Markets!B24)</f>
        <v/>
      </c>
      <c r="D510" t="s">
        <v>234</v>
      </c>
      <c r="E510" t="s">
        <v>26</v>
      </c>
      <c r="F510" t="str">
        <f>IF(OR(Markets!B24="",Markets!H24=""),"",Markets!H24)</f>
        <v/>
      </c>
    </row>
    <row r="511" spans="1:7" x14ac:dyDescent="0.25">
      <c r="A511" t="s">
        <v>280</v>
      </c>
      <c r="C511" t="str">
        <f>IF(Markets!B24="","",Markets!B24)</f>
        <v/>
      </c>
      <c r="D511" t="s">
        <v>234</v>
      </c>
      <c r="E511" t="s">
        <v>27</v>
      </c>
      <c r="F511" t="str">
        <f>IF(OR(Markets!B24="",Markets!I24=""),"",Markets!I24)</f>
        <v/>
      </c>
    </row>
    <row r="512" spans="1:7" x14ac:dyDescent="0.25">
      <c r="A512" t="s">
        <v>280</v>
      </c>
      <c r="C512" t="str">
        <f>IF(Markets!B24="","",Markets!B24)</f>
        <v/>
      </c>
      <c r="D512" t="s">
        <v>234</v>
      </c>
      <c r="E512" t="s">
        <v>28</v>
      </c>
      <c r="F512" t="str">
        <f>IF(OR(Markets!B24="",Markets!J24=""),"",Markets!J24)</f>
        <v/>
      </c>
    </row>
    <row r="513" spans="1:7" x14ac:dyDescent="0.25">
      <c r="A513" t="s">
        <v>280</v>
      </c>
      <c r="C513" t="str">
        <f>IF(Markets!B24="","",Markets!B24)</f>
        <v/>
      </c>
      <c r="D513" t="s">
        <v>234</v>
      </c>
      <c r="E513" t="s">
        <v>29</v>
      </c>
      <c r="F513" t="str">
        <f>IF(OR(Markets!B24="",Markets!K24=""),"",Markets!K24)</f>
        <v/>
      </c>
    </row>
    <row r="514" spans="1:7" x14ac:dyDescent="0.25">
      <c r="A514" t="s">
        <v>283</v>
      </c>
      <c r="C514" t="str">
        <f>IF(Macro!A5="","",Macro!A5)</f>
        <v>PCE inflation, June 2026</v>
      </c>
      <c r="D514" t="s">
        <v>219</v>
      </c>
      <c r="G514" t="str">
        <f>IF(Macro!A5="","",Macro!B5)</f>
        <v>3.7% y/y</v>
      </c>
    </row>
    <row r="515" spans="1:7" x14ac:dyDescent="0.25">
      <c r="A515" t="s">
        <v>283</v>
      </c>
      <c r="C515" t="str">
        <f>IF(Macro!A5="","",Macro!A5)</f>
        <v>PCE inflation, June 2026</v>
      </c>
      <c r="D515" t="s">
        <v>284</v>
      </c>
      <c r="G515" t="str">
        <f>IF(Macro!A5="","",Macro!C5)</f>
        <v>Core 3.3% (FRED · BEA). Easing driven largely by a temporary drop in energy prices after the mid-June ceasefire, since reversed (p. 4)</v>
      </c>
    </row>
    <row r="516" spans="1:7" x14ac:dyDescent="0.25">
      <c r="A516" t="s">
        <v>283</v>
      </c>
      <c r="C516" t="str">
        <f>IF(Macro!A6="","",Macro!A6)</f>
        <v>Federal funds target range</v>
      </c>
      <c r="D516" t="s">
        <v>219</v>
      </c>
      <c r="G516" t="str">
        <f>IF(Macro!A6="","",Macro!B6)</f>
        <v>3.50–3.75%</v>
      </c>
    </row>
    <row r="517" spans="1:7" x14ac:dyDescent="0.25">
      <c r="A517" t="s">
        <v>283</v>
      </c>
      <c r="C517" t="str">
        <f>IF(Macro!A6="","",Macro!A6)</f>
        <v>Federal funds target range</v>
      </c>
      <c r="D517" t="s">
        <v>284</v>
      </c>
      <c r="G517" t="str">
        <f>IF(Macro!A6="","",Macro!C6)</f>
        <v>In effect since Dec 11, 2025 (FRED · Federal Reserve). Fifth consecutive pause; three dissents in favor of an increase (p. 4)</v>
      </c>
    </row>
    <row r="518" spans="1:7" x14ac:dyDescent="0.25">
      <c r="A518" t="s">
        <v>283</v>
      </c>
      <c r="C518" t="str">
        <f>IF(Macro!A7="","",Macro!A7)</f>
        <v>Unemployment and participation, June 2026</v>
      </c>
      <c r="D518" t="s">
        <v>219</v>
      </c>
      <c r="G518" t="str">
        <f>IF(Macro!A7="","",Macro!B7)</f>
        <v>4.2% · 61.5%</v>
      </c>
    </row>
    <row r="519" spans="1:7" x14ac:dyDescent="0.25">
      <c r="A519" t="s">
        <v>283</v>
      </c>
      <c r="C519" t="str">
        <f>IF(Macro!A7="","",Macro!A7)</f>
        <v>Unemployment and participation, June 2026</v>
      </c>
      <c r="D519" t="s">
        <v>284</v>
      </c>
      <c r="G519" t="str">
        <f>IF(Macro!A7="","",Macro!C7)</f>
        <v>Unemployment rate · labor force participation rate (FRED · BLS)</v>
      </c>
    </row>
    <row r="520" spans="1:7" x14ac:dyDescent="0.25">
      <c r="A520" t="s">
        <v>283</v>
      </c>
      <c r="C520" t="str">
        <f>IF(Macro!A8="","",Macro!A8)</f>
        <v>Treasury yields, Jun 30, 2026</v>
      </c>
      <c r="D520" t="s">
        <v>219</v>
      </c>
      <c r="G520" t="str">
        <f>IF(Macro!A8="","",Macro!B8)</f>
        <v>3.9 · 4.1 · 4.2 · 4.4 · 4.9%</v>
      </c>
    </row>
    <row r="521" spans="1:7" x14ac:dyDescent="0.25">
      <c r="A521" t="s">
        <v>283</v>
      </c>
      <c r="C521" t="str">
        <f>IF(Macro!A8="","",Macro!A8)</f>
        <v>Treasury yields, Jun 30, 2026</v>
      </c>
      <c r="D521" t="s">
        <v>284</v>
      </c>
      <c r="G521" t="str">
        <f>IF(Macro!A8="","",Macro!C8)</f>
        <v>3M · 2Y · 5Y · 10Y · 30Y constant maturity (FRED · Federal Reserve)</v>
      </c>
    </row>
    <row r="522" spans="1:7" x14ac:dyDescent="0.25">
      <c r="A522" t="s">
        <v>283</v>
      </c>
      <c r="C522" t="str">
        <f>IF(Macro!A9="","",Macro!A9)</f>
        <v>U.S. Dollar Index, YTD to 7/31</v>
      </c>
      <c r="D522" t="s">
        <v>219</v>
      </c>
      <c r="G522" t="str">
        <f>IF(Macro!A9="","",Macro!B9)</f>
        <v>+1.6%</v>
      </c>
    </row>
    <row r="523" spans="1:7" x14ac:dyDescent="0.25">
      <c r="A523" t="s">
        <v>283</v>
      </c>
      <c r="C523" t="str">
        <f>IF(Macro!A9="","",Macro!A9)</f>
        <v>U.S. Dollar Index, YTD to 7/31</v>
      </c>
      <c r="D523" t="s">
        <v>284</v>
      </c>
      <c r="G523" t="str">
        <f>IF(Macro!A9="","",Macro!C9)</f>
        <v>GBP +0.1 · EUR −1.9 · JPY −0.4 · CAD −2.1 · MXN +3.8 · CNY +3.5 (p. 6)</v>
      </c>
    </row>
    <row r="524" spans="1:7" x14ac:dyDescent="0.25">
      <c r="A524" t="s">
        <v>283</v>
      </c>
      <c r="C524" t="str">
        <f>IF(Macro!A10="","",Macro!A10)</f>
        <v>Themes to watch</v>
      </c>
      <c r="D524" t="s">
        <v>219</v>
      </c>
      <c r="G524" t="str">
        <f>IF(Macro!A10="","",Macro!B10)</f>
        <v>Tariffs · AI · rates</v>
      </c>
    </row>
    <row r="525" spans="1:7" x14ac:dyDescent="0.25">
      <c r="A525" t="s">
        <v>283</v>
      </c>
      <c r="C525" t="str">
        <f>IF(Macro!A10="","",Macro!A10)</f>
        <v>Themes to watch</v>
      </c>
      <c r="D525" t="s">
        <v>284</v>
      </c>
      <c r="G525" t="str">
        <f>IF(Macro!A10="","",Macro!C10)</f>
        <v>Tariffs of 10–12.5% now cover over 99% of U.S. imports; Strait of Hormuz disruption; Q2 earnings beat with AI capex in focus (p. 4)</v>
      </c>
    </row>
    <row r="526" spans="1:7" x14ac:dyDescent="0.25">
      <c r="A526" t="s">
        <v>283</v>
      </c>
      <c r="C526" t="str">
        <f>IF(Macro!A11="","",Macro!A11)</f>
        <v/>
      </c>
      <c r="D526" t="s">
        <v>219</v>
      </c>
      <c r="G526" t="str">
        <f>IF(Macro!A11="","",Macro!B11)</f>
        <v/>
      </c>
    </row>
    <row r="527" spans="1:7" x14ac:dyDescent="0.25">
      <c r="A527" t="s">
        <v>283</v>
      </c>
      <c r="C527" t="str">
        <f>IF(Macro!A11="","",Macro!A11)</f>
        <v/>
      </c>
      <c r="D527" t="s">
        <v>284</v>
      </c>
      <c r="G527" t="str">
        <f>IF(Macro!A11="","",Macro!C11)</f>
        <v/>
      </c>
    </row>
    <row r="528" spans="1:7" x14ac:dyDescent="0.25">
      <c r="A528" t="s">
        <v>283</v>
      </c>
      <c r="C528" t="str">
        <f>IF(Macro!A12="","",Macro!A12)</f>
        <v/>
      </c>
      <c r="D528" t="s">
        <v>219</v>
      </c>
      <c r="G528" t="str">
        <f>IF(Macro!A12="","",Macro!B12)</f>
        <v/>
      </c>
    </row>
    <row r="529" spans="1:7" x14ac:dyDescent="0.25">
      <c r="A529" t="s">
        <v>283</v>
      </c>
      <c r="C529" t="str">
        <f>IF(Macro!A12="","",Macro!A12)</f>
        <v/>
      </c>
      <c r="D529" t="s">
        <v>284</v>
      </c>
      <c r="G529" t="str">
        <f>IF(Macro!A12="","",Macro!C12)</f>
        <v/>
      </c>
    </row>
    <row r="530" spans="1:7" x14ac:dyDescent="0.25">
      <c r="A530" t="s">
        <v>285</v>
      </c>
      <c r="C530" t="str">
        <f>IF(Items!B5="","",Items!A5)</f>
        <v>Total Fund</v>
      </c>
      <c r="D530" t="str">
        <f>IF(Items!B5="","",Items!C5)</f>
        <v>In progress</v>
      </c>
      <c r="F530">
        <f>IF(OR(Items!B5="",Items!D5=""),"",Items!D5)</f>
        <v>19</v>
      </c>
      <c r="G530" t="str">
        <f>IF(Items!B5="","",Items!B5)</f>
        <v>April 2024 approved Strategic Asset Allocation implementation</v>
      </c>
    </row>
    <row r="531" spans="1:7" x14ac:dyDescent="0.25">
      <c r="A531" t="s">
        <v>285</v>
      </c>
      <c r="C531" t="str">
        <f>IF(Items!B6="","",Items!A6)</f>
        <v>Total Fund</v>
      </c>
      <c r="D531" t="str">
        <f>IF(Items!B6="","",Items!C6)</f>
        <v>In progress</v>
      </c>
      <c r="F531">
        <f>IF(OR(Items!B6="",Items!D6=""),"",Items!D6)</f>
        <v>19</v>
      </c>
      <c r="G531" t="str">
        <f>IF(Items!B6="","",Items!B6)</f>
        <v>Adhering to the BOI-approved 2026 Strategic Framework</v>
      </c>
    </row>
    <row r="532" spans="1:7" x14ac:dyDescent="0.25">
      <c r="A532" t="s">
        <v>285</v>
      </c>
      <c r="C532" t="str">
        <f>IF(Items!B7="","",Items!A7)</f>
        <v>Total Fund</v>
      </c>
      <c r="D532" t="str">
        <f>IF(Items!B7="","",Items!C7)</f>
        <v>In progress</v>
      </c>
      <c r="F532">
        <f>IF(OR(Items!B7="",Items!D7=""),"",Items!D7)</f>
        <v>19</v>
      </c>
      <c r="G532" t="str">
        <f>IF(Items!B7="","",Items!B7)</f>
        <v>Planning for the Strategic Framework and Initiatives Refresh</v>
      </c>
    </row>
    <row r="533" spans="1:7" x14ac:dyDescent="0.25">
      <c r="A533" t="s">
        <v>285</v>
      </c>
      <c r="C533" t="str">
        <f>IF(Items!B8="","",Items!A8)</f>
        <v>Total Fund</v>
      </c>
      <c r="D533" t="str">
        <f>IF(Items!B8="","",Items!C8)</f>
        <v>In progress</v>
      </c>
      <c r="F533">
        <f>IF(OR(Items!B8="",Items!D8=""),"",Items!D8)</f>
        <v>19</v>
      </c>
      <c r="G533" t="str">
        <f>IF(Items!B8="","",Items!B8)</f>
        <v>Risk system onboarding</v>
      </c>
    </row>
    <row r="534" spans="1:7" x14ac:dyDescent="0.25">
      <c r="A534" t="s">
        <v>285</v>
      </c>
      <c r="C534" t="str">
        <f>IF(Items!B9="","",Items!A9)</f>
        <v>OPEB Master Trust</v>
      </c>
      <c r="D534" t="str">
        <f>IF(Items!B9="","",Items!C9)</f>
        <v>In progress</v>
      </c>
      <c r="F534">
        <f>IF(OR(Items!B9="",Items!D9=""),"",Items!D9)</f>
        <v>19</v>
      </c>
      <c r="G534" t="str">
        <f>IF(Items!B9="","",Items!B9)</f>
        <v>April 2024 approved Strategic Asset Allocation implementation</v>
      </c>
    </row>
    <row r="535" spans="1:7" x14ac:dyDescent="0.25">
      <c r="A535" t="s">
        <v>285</v>
      </c>
      <c r="C535" t="str">
        <f>IF(Items!B10="","",Items!A10)</f>
        <v>OPEB Master Trust</v>
      </c>
      <c r="D535" t="str">
        <f>IF(Items!B10="","",Items!C10)</f>
        <v>In progress</v>
      </c>
      <c r="F535">
        <f>IF(OR(Items!B10="",Items!D10=""),"",Items!D10)</f>
        <v>19</v>
      </c>
      <c r="G535" t="str">
        <f>IF(Items!B10="","",Items!B10)</f>
        <v>Risk system onboarding</v>
      </c>
    </row>
    <row r="536" spans="1:7" x14ac:dyDescent="0.25">
      <c r="A536" t="s">
        <v>285</v>
      </c>
      <c r="C536" t="str">
        <f>IF(Items!B11="","",Items!A11)</f>
        <v>Investments Division</v>
      </c>
      <c r="D536" t="str">
        <f>IF(Items!B11="","",Items!C11)</f>
        <v>In development</v>
      </c>
      <c r="F536">
        <f>IF(OR(Items!B11="",Items!D11=""),"",Items!D11)</f>
        <v>19</v>
      </c>
      <c r="G536" t="str">
        <f>IF(Items!B11="","",Items!B11)</f>
        <v>Principal Investment Officer — 1 position</v>
      </c>
    </row>
    <row r="537" spans="1:7" x14ac:dyDescent="0.25">
      <c r="A537" t="s">
        <v>285</v>
      </c>
      <c r="C537" t="str">
        <f>IF(Items!B12="","",Items!A12)</f>
        <v>Investments Division</v>
      </c>
      <c r="D537" t="str">
        <f>IF(Items!B12="","",Items!C12)</f>
        <v>In development</v>
      </c>
      <c r="F537">
        <f>IF(OR(Items!B12="",Items!D12=""),"",Items!D12)</f>
        <v>19</v>
      </c>
      <c r="G537" t="str">
        <f>IF(Items!B12="","",Items!B12)</f>
        <v>Finance Analyst III — 5 positions</v>
      </c>
    </row>
    <row r="538" spans="1:7" x14ac:dyDescent="0.25">
      <c r="A538" t="s">
        <v>285</v>
      </c>
      <c r="C538" t="str">
        <f>IF(Items!B13="","",Items!A13)</f>
        <v>Investments Division</v>
      </c>
      <c r="D538" t="str">
        <f>IF(Items!B13="","",Items!C13)</f>
        <v>In progress</v>
      </c>
      <c r="F538">
        <f>IF(OR(Items!B13="",Items!D13=""),"",Items!D13)</f>
        <v>19</v>
      </c>
      <c r="G538" t="str">
        <f>IF(Items!B13="","",Items!B13)</f>
        <v>Finance Analyst II — 1 position</v>
      </c>
    </row>
    <row r="539" spans="1:7" x14ac:dyDescent="0.25">
      <c r="A539" t="s">
        <v>285</v>
      </c>
      <c r="C539" t="str">
        <f>IF(Items!B14="","",Items!A14)</f>
        <v>Investments Division</v>
      </c>
      <c r="D539" t="str">
        <f>IF(Items!B14="","",Items!C14)</f>
        <v>Completed</v>
      </c>
      <c r="F539">
        <f>IF(OR(Items!B14="",Items!D14=""),"",Items!D14)</f>
        <v>19</v>
      </c>
      <c r="G539" t="str">
        <f>IF(Items!B14="","",Items!B14)</f>
        <v>Finance Analyst Fellowship — 2 positions</v>
      </c>
    </row>
    <row r="540" spans="1:7" x14ac:dyDescent="0.25">
      <c r="A540" t="s">
        <v>285</v>
      </c>
      <c r="C540" t="str">
        <f>IF(Items!B15="","",Items!A15)</f>
        <v>Manager update</v>
      </c>
      <c r="D540" t="str">
        <f>IF(Items!B15="","",Items!C15)</f>
        <v>For attention</v>
      </c>
      <c r="F540">
        <f>IF(OR(Items!B15="",Items!D15=""),"",Items!D15)</f>
        <v>20</v>
      </c>
      <c r="G540" t="str">
        <f>IF(Items!B15="","",Items!B15)</f>
        <v>Acadian Asset Management (global equities separate account, $1,023 mm): Alexandre Voitenok appointed co-Chief Investment Officer effective January 1, 2027, after serving as Deputy CIO since 2024</v>
      </c>
    </row>
    <row r="541" spans="1:7" x14ac:dyDescent="0.25">
      <c r="A541" t="s">
        <v>285</v>
      </c>
      <c r="C541" t="str">
        <f>IF(Items!B16="","",Items!A16)</f>
        <v>Consultant search</v>
      </c>
      <c r="D541" t="str">
        <f>IF(Items!B16="","",Items!C16)</f>
        <v>Quiet period</v>
      </c>
      <c r="F541">
        <f>IF(OR(Items!B16="",Items!D16=""),"",Items!D16)</f>
        <v>24</v>
      </c>
      <c r="G541" t="str">
        <f>IF(Items!B16="","",Items!B16)</f>
        <v>Real Estate Consultant RFP launched Q1 2026, diligence Q1–Q3 2026 — quiet period for respondents (Albourne, Mercer, NEPC, RCLCO, StepStone, Meketa)</v>
      </c>
    </row>
    <row r="542" spans="1:7" x14ac:dyDescent="0.25">
      <c r="A542" t="s">
        <v>285</v>
      </c>
      <c r="C542" t="str">
        <f>IF(Items!B17="","",Items!A17)</f>
        <v/>
      </c>
      <c r="D542" t="str">
        <f>IF(Items!B17="","",Items!C17)</f>
        <v/>
      </c>
      <c r="F542" t="str">
        <f>IF(OR(Items!B17="",Items!D17=""),"",Items!D17)</f>
        <v/>
      </c>
      <c r="G542" t="str">
        <f>IF(Items!B17="","",Items!B17)</f>
        <v/>
      </c>
    </row>
    <row r="543" spans="1:7" x14ac:dyDescent="0.25">
      <c r="A543" t="s">
        <v>285</v>
      </c>
      <c r="C543" t="str">
        <f>IF(Items!B18="","",Items!A18)</f>
        <v/>
      </c>
      <c r="D543" t="str">
        <f>IF(Items!B18="","",Items!C18)</f>
        <v/>
      </c>
      <c r="F543" t="str">
        <f>IF(OR(Items!B18="",Items!D18=""),"",Items!D18)</f>
        <v/>
      </c>
      <c r="G543" t="str">
        <f>IF(Items!B18="","",Items!B18)</f>
        <v/>
      </c>
    </row>
    <row r="544" spans="1:7" x14ac:dyDescent="0.25">
      <c r="A544" t="s">
        <v>285</v>
      </c>
      <c r="C544" t="str">
        <f>IF(Items!B19="","",Items!A19)</f>
        <v/>
      </c>
      <c r="D544" t="str">
        <f>IF(Items!B19="","",Items!C19)</f>
        <v/>
      </c>
      <c r="F544" t="str">
        <f>IF(OR(Items!B19="",Items!D19=""),"",Items!D19)</f>
        <v/>
      </c>
      <c r="G544" t="str">
        <f>IF(Items!B19="","",Items!B19)</f>
        <v/>
      </c>
    </row>
    <row r="545" spans="1:7" x14ac:dyDescent="0.25">
      <c r="A545" t="s">
        <v>285</v>
      </c>
      <c r="C545" t="str">
        <f>IF(Items!B20="","",Items!A20)</f>
        <v/>
      </c>
      <c r="D545" t="str">
        <f>IF(Items!B20="","",Items!C20)</f>
        <v/>
      </c>
      <c r="F545" t="str">
        <f>IF(OR(Items!B20="",Items!D20=""),"",Items!D20)</f>
        <v/>
      </c>
      <c r="G545" t="str">
        <f>IF(Items!B20="","",Items!B20)</f>
        <v/>
      </c>
    </row>
    <row r="546" spans="1:7" x14ac:dyDescent="0.25">
      <c r="A546" t="s">
        <v>285</v>
      </c>
      <c r="C546" t="str">
        <f>IF(Items!B21="","",Items!A21)</f>
        <v/>
      </c>
      <c r="D546" t="str">
        <f>IF(Items!B21="","",Items!C21)</f>
        <v/>
      </c>
      <c r="F546" t="str">
        <f>IF(OR(Items!B21="",Items!D21=""),"",Items!D21)</f>
        <v/>
      </c>
      <c r="G546" t="str">
        <f>IF(Items!B21="","",Items!B21)</f>
        <v/>
      </c>
    </row>
    <row r="547" spans="1:7" x14ac:dyDescent="0.25">
      <c r="A547" t="s">
        <v>285</v>
      </c>
      <c r="C547" t="str">
        <f>IF(Items!B22="","",Items!A22)</f>
        <v/>
      </c>
      <c r="D547" t="str">
        <f>IF(Items!B22="","",Items!C22)</f>
        <v/>
      </c>
      <c r="F547" t="str">
        <f>IF(OR(Items!B22="",Items!D22=""),"",Items!D22)</f>
        <v/>
      </c>
      <c r="G547" t="str">
        <f>IF(Items!B22="","",Items!B22)</f>
        <v/>
      </c>
    </row>
    <row r="548" spans="1:7" x14ac:dyDescent="0.25">
      <c r="A548" t="s">
        <v>285</v>
      </c>
      <c r="C548" t="str">
        <f>IF(Items!B23="","",Items!A23)</f>
        <v/>
      </c>
      <c r="D548" t="str">
        <f>IF(Items!B23="","",Items!C23)</f>
        <v/>
      </c>
      <c r="F548" t="str">
        <f>IF(OR(Items!B23="",Items!D23=""),"",Items!D23)</f>
        <v/>
      </c>
      <c r="G548" t="str">
        <f>IF(Items!B23="","",Items!B23)</f>
        <v/>
      </c>
    </row>
    <row r="549" spans="1:7" x14ac:dyDescent="0.25">
      <c r="A549" t="s">
        <v>285</v>
      </c>
      <c r="C549" t="str">
        <f>IF(Items!B24="","",Items!A24)</f>
        <v/>
      </c>
      <c r="D549" t="str">
        <f>IF(Items!B24="","",Items!C24)</f>
        <v/>
      </c>
      <c r="F549" t="str">
        <f>IF(OR(Items!B24="",Items!D24=""),"",Items!D24)</f>
        <v/>
      </c>
      <c r="G549" t="str">
        <f>IF(Items!B24="","",Items!B24)</f>
        <v/>
      </c>
    </row>
    <row r="550" spans="1:7" x14ac:dyDescent="0.25">
      <c r="A550" t="s">
        <v>285</v>
      </c>
      <c r="C550" t="str">
        <f>IF(Items!B25="","",Items!A25)</f>
        <v/>
      </c>
      <c r="D550" t="str">
        <f>IF(Items!B25="","",Items!C25)</f>
        <v/>
      </c>
      <c r="F550" t="str">
        <f>IF(OR(Items!B25="",Items!D25=""),"",Items!D25)</f>
        <v/>
      </c>
      <c r="G550" t="str">
        <f>IF(Items!B25="","",Items!B25)</f>
        <v/>
      </c>
    </row>
    <row r="551" spans="1:7" x14ac:dyDescent="0.25">
      <c r="A551" t="s">
        <v>285</v>
      </c>
      <c r="C551" t="str">
        <f>IF(Items!B26="","",Items!A26)</f>
        <v/>
      </c>
      <c r="D551" t="str">
        <f>IF(Items!B26="","",Items!C26)</f>
        <v/>
      </c>
      <c r="F551" t="str">
        <f>IF(OR(Items!B26="",Items!D26=""),"",Items!D26)</f>
        <v/>
      </c>
      <c r="G551" t="str">
        <f>IF(Items!B26="","",Items!B26)</f>
        <v/>
      </c>
    </row>
    <row r="552" spans="1:7" x14ac:dyDescent="0.25">
      <c r="A552" t="s">
        <v>285</v>
      </c>
      <c r="C552" t="str">
        <f>IF(Items!B27="","",Items!A27)</f>
        <v/>
      </c>
      <c r="D552" t="str">
        <f>IF(Items!B27="","",Items!C27)</f>
        <v/>
      </c>
      <c r="F552" t="str">
        <f>IF(OR(Items!B27="",Items!D27=""),"",Items!D27)</f>
        <v/>
      </c>
      <c r="G552" t="str">
        <f>IF(Items!B27="","",Items!B27)</f>
        <v/>
      </c>
    </row>
    <row r="553" spans="1:7" x14ac:dyDescent="0.25">
      <c r="A553" t="s">
        <v>285</v>
      </c>
      <c r="C553" t="str">
        <f>IF(Items!B28="","",Items!A28)</f>
        <v/>
      </c>
      <c r="D553" t="str">
        <f>IF(Items!B28="","",Items!C28)</f>
        <v/>
      </c>
      <c r="F553" t="str">
        <f>IF(OR(Items!B28="",Items!D28=""),"",Items!D28)</f>
        <v/>
      </c>
      <c r="G553" t="str">
        <f>IF(Items!B28="","",Items!B28)</f>
        <v/>
      </c>
    </row>
    <row r="554" spans="1:7" x14ac:dyDescent="0.25">
      <c r="A554" t="s">
        <v>285</v>
      </c>
      <c r="C554" t="str">
        <f>IF(Items!B29="","",Items!A29)</f>
        <v/>
      </c>
      <c r="D554" t="str">
        <f>IF(Items!B29="","",Items!C29)</f>
        <v/>
      </c>
      <c r="F554" t="str">
        <f>IF(OR(Items!B29="",Items!D29=""),"",Items!D29)</f>
        <v/>
      </c>
      <c r="G554" t="str">
        <f>IF(Items!B29="","",Items!B29)</f>
        <v/>
      </c>
    </row>
    <row r="555" spans="1:7" x14ac:dyDescent="0.25">
      <c r="A555" t="s">
        <v>285</v>
      </c>
      <c r="C555" t="str">
        <f>IF(Items!B30="","",Items!A30)</f>
        <v/>
      </c>
      <c r="D555" t="str">
        <f>IF(Items!B30="","",Items!C30)</f>
        <v/>
      </c>
      <c r="F555" t="str">
        <f>IF(OR(Items!B30="",Items!D30=""),"",Items!D30)</f>
        <v/>
      </c>
      <c r="G555" t="str">
        <f>IF(Items!B30="","",Items!B30)</f>
        <v/>
      </c>
    </row>
    <row r="556" spans="1:7" x14ac:dyDescent="0.25">
      <c r="A556" t="s">
        <v>285</v>
      </c>
      <c r="C556" t="str">
        <f>IF(Items!B31="","",Items!A31)</f>
        <v/>
      </c>
      <c r="D556" t="str">
        <f>IF(Items!B31="","",Items!C31)</f>
        <v/>
      </c>
      <c r="F556" t="str">
        <f>IF(OR(Items!B31="",Items!D31=""),"",Items!D31)</f>
        <v/>
      </c>
      <c r="G556" t="str">
        <f>IF(Items!B31="","",Items!B31)</f>
        <v/>
      </c>
    </row>
    <row r="557" spans="1:7" x14ac:dyDescent="0.25">
      <c r="A557" t="s">
        <v>285</v>
      </c>
      <c r="C557" t="str">
        <f>IF(Items!B32="","",Items!A32)</f>
        <v/>
      </c>
      <c r="D557" t="str">
        <f>IF(Items!B32="","",Items!C32)</f>
        <v/>
      </c>
      <c r="F557" t="str">
        <f>IF(OR(Items!B32="",Items!D32=""),"",Items!D32)</f>
        <v/>
      </c>
      <c r="G557" t="str">
        <f>IF(Items!B32="","",Items!B32)</f>
        <v/>
      </c>
    </row>
    <row r="558" spans="1:7" x14ac:dyDescent="0.25">
      <c r="A558" t="s">
        <v>285</v>
      </c>
      <c r="C558" t="str">
        <f>IF(Items!B33="","",Items!A33)</f>
        <v/>
      </c>
      <c r="D558" t="str">
        <f>IF(Items!B33="","",Items!C33)</f>
        <v/>
      </c>
      <c r="F558" t="str">
        <f>IF(OR(Items!B33="",Items!D33=""),"",Items!D33)</f>
        <v/>
      </c>
      <c r="G558" t="str">
        <f>IF(Items!B33="","",Items!B33)</f>
        <v/>
      </c>
    </row>
    <row r="559" spans="1:7" x14ac:dyDescent="0.25">
      <c r="A559" t="s">
        <v>285</v>
      </c>
      <c r="C559" t="str">
        <f>IF(Items!B34="","",Items!A34)</f>
        <v/>
      </c>
      <c r="D559" t="str">
        <f>IF(Items!B34="","",Items!C34)</f>
        <v/>
      </c>
      <c r="F559" t="str">
        <f>IF(OR(Items!B34="",Items!D34=""),"",Items!D34)</f>
        <v/>
      </c>
      <c r="G559" t="str">
        <f>IF(Items!B34="","",Items!B34)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</vt:lpstr>
      <vt:lpstr>Report</vt:lpstr>
      <vt:lpstr>Pension</vt:lpstr>
      <vt:lpstr>OPEB</vt:lpstr>
      <vt:lpstr>Markets</vt:lpstr>
      <vt:lpstr>Macro</vt:lpstr>
      <vt:lpstr>Items</vt:lpstr>
      <vt:lpstr>Checks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tools/make_cio_template.py</dc:creator>
  <cp:lastModifiedBy>Eswin Ramirez</cp:lastModifiedBy>
  <dcterms:created xsi:type="dcterms:W3CDTF">2026-08-12T00:00:00Z</dcterms:created>
  <dcterms:modified xsi:type="dcterms:W3CDTF">2026-09-20T05:14:29Z</dcterms:modified>
</cp:coreProperties>
</file>